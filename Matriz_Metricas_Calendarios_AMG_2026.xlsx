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KPIs_por_Red" sheetId="2" state="visible" r:id="rId4"/>
    <sheet name="Variantes_x_Red" sheetId="3" state="visible" r:id="rId5"/>
    <sheet name="Calendario_Tipo" sheetId="4" state="visible" r:id="rId6"/>
    <sheet name="Decisión_Algoritmica" sheetId="5" state="visible" r:id="rId7"/>
    <sheet name="KOLs_Pack_Ciclo" sheetId="6" state="visible" r:id="rId8"/>
    <sheet name="Benchmarks_Sector" sheetId="7" state="visible" r:id="rId9"/>
    <sheet name="Fuentes_Dato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<sst xmlns="http://schemas.openxmlformats.org/spreadsheetml/2006/main" count="503" uniqueCount="405">
  <si>
    <t xml:space="preserve">Matriz de Métricas y Calendarios</t>
  </si>
  <si>
    <t xml:space="preserve">México Sin Cáncer Gástrico 2026 · Carnot + AMG · Sistema Polar Amplificado por IA</t>
  </si>
  <si>
    <t xml:space="preserve">Cliente</t>
  </si>
  <si>
    <t xml:space="preserve">Carnot Laboratorios</t>
  </si>
  <si>
    <t xml:space="preserve">Campaña</t>
  </si>
  <si>
    <t xml:space="preserve">México Sin Cáncer Gástrico 2026 — Ki-CAB (tegoprazán)</t>
  </si>
  <si>
    <t xml:space="preserve">Aval</t>
  </si>
  <si>
    <t xml:space="preserve">Asociación Mexicana de Gastroenterología (AMG)</t>
  </si>
  <si>
    <t xml:space="preserve">Periodo</t>
  </si>
  <si>
    <t xml:space="preserve">Mayo–Diciembre 2026 (8 ciclos)</t>
  </si>
  <si>
    <t xml:space="preserve">Fuerza de ventas</t>
  </si>
  <si>
    <t xml:space="preserve">150 representantes</t>
  </si>
  <si>
    <t xml:space="preserve">KOLs médicos</t>
  </si>
  <si>
    <t xml:space="preserve">Dr. Remes-Troche · Dr. Valdovinos · Dr. Coss Adame + pool regional</t>
  </si>
  <si>
    <t xml:space="preserve">Preparado por</t>
  </si>
  <si>
    <t xml:space="preserve">Polar Multimedia · Dirección Estratégica</t>
  </si>
  <si>
    <t xml:space="preserve">Versión</t>
  </si>
  <si>
    <t xml:space="preserve">v1.0 · 24-Abr-2026</t>
  </si>
  <si>
    <t xml:space="preserve">Repositorio</t>
  </si>
  <si>
    <t xml:space="preserve">github.com/polar-multimedia/amg-pylori-hub</t>
  </si>
  <si>
    <t xml:space="preserve">URLs activas</t>
  </si>
  <si>
    <t xml:space="preserve">Portal: polar-multimedia.github.io/amg-pylori-hub/ | Hub revisión: /sistema_piezas_AMG_Hub.html | Visita Médica PWA: /visita-medica-amg/</t>
  </si>
  <si>
    <t xml:space="preserve">Índice de hojas</t>
  </si>
  <si>
    <t xml:space="preserve">KPIs_por_Red</t>
  </si>
  <si>
    <t xml:space="preserve">Tabla maestra de KPIs por red social × formato × benchmarks pharma MX</t>
  </si>
  <si>
    <t xml:space="preserve">Variantes_x_Red</t>
  </si>
  <si>
    <t xml:space="preserve">Qué variante visual (V0–V6) funciona en qué red y por qué</t>
  </si>
  <si>
    <t xml:space="preserve">Calendario_Tipo</t>
  </si>
  <si>
    <t xml:space="preserve">Distribución ideal de volumen semanal por red y ciclo del año</t>
  </si>
  <si>
    <t xml:space="preserve">Decisión_Algoritmica</t>
  </si>
  <si>
    <t xml:space="preserve">Vectores ponderados que determinan qué pieza va a qué red esta semana</t>
  </si>
  <si>
    <t xml:space="preserve">KOLs_Pack_Ciclo</t>
  </si>
  <si>
    <t xml:space="preserve">Perfil de cada influencer médico + deliverables del pack mensual</t>
  </si>
  <si>
    <t xml:space="preserve">Benchmarks_Sector</t>
  </si>
  <si>
    <t xml:space="preserve">Referencias de desempeño en pharma MX para calibrar expectativas</t>
  </si>
  <si>
    <t xml:space="preserve">Fuentes_Datos</t>
  </si>
  <si>
    <t xml:space="preserve">De dónde sale cada dato que alimenta el sistema</t>
  </si>
  <si>
    <t xml:space="preserve">Red</t>
  </si>
  <si>
    <t xml:space="preserve">Target principal</t>
  </si>
  <si>
    <t xml:space="preserve">Formato primario</t>
  </si>
  <si>
    <t xml:space="preserve">KPI de atención</t>
  </si>
  <si>
    <t xml:space="preserve">Objetivo (media)</t>
  </si>
  <si>
    <t xml:space="preserve">KPI de utilidad</t>
  </si>
  <si>
    <t xml:space="preserve">KPI de conversión</t>
  </si>
  <si>
    <t xml:space="preserve">Volumen/semana</t>
  </si>
  <si>
    <t xml:space="preserve">Mejor variante</t>
  </si>
  <si>
    <t xml:space="preserve">Pauta $ sugerida (mes)</t>
  </si>
  <si>
    <t xml:space="preserve">Instagram Feed</t>
  </si>
  <si>
    <t xml:space="preserve">Paciente 25-55 (mayoría mujer)</t>
  </si>
  <si>
    <t xml:space="preserve">1:1 1080×1080</t>
  </si>
  <si>
    <t xml:space="preserve">Engagement rate</t>
  </si>
  <si>
    <t xml:space="preserve">3.2%</t>
  </si>
  <si>
    <t xml:space="preserve">Save rate</t>
  </si>
  <si>
    <t xml:space="preserve">2.1%</t>
  </si>
  <si>
    <t xml:space="preserve">Profile→bio CTR</t>
  </si>
  <si>
    <t xml:space="preserve">1.8%</t>
  </si>
  <si>
    <t xml:space="preserve">3 posts</t>
  </si>
  <si>
    <t xml:space="preserve">V0 fotográfica + V1 tipográfica</t>
  </si>
  <si>
    <t xml:space="preserve">25-35k</t>
  </si>
  <si>
    <t xml:space="preserve">IG Stories/Reels</t>
  </si>
  <si>
    <t xml:space="preserve">Paciente joven 18-35</t>
  </si>
  <si>
    <t xml:space="preserve">9:16 1080×1920</t>
  </si>
  <si>
    <t xml:space="preserve">Watch-through</t>
  </si>
  <si>
    <t xml:space="preserve">65%</t>
  </si>
  <si>
    <t xml:space="preserve">Story tap-back</t>
  </si>
  <si>
    <t xml:space="preserve">8%</t>
  </si>
  <si>
    <t xml:space="preserve">Sticker link CTR</t>
  </si>
  <si>
    <t xml:space="preserve">2.5%</t>
  </si>
  <si>
    <t xml:space="preserve">5 Stories + 2 Reels</t>
  </si>
  <si>
    <t xml:space="preserve">V2 dinámica + V6 diagnóstico</t>
  </si>
  <si>
    <t xml:space="preserve">30-40k</t>
  </si>
  <si>
    <t xml:space="preserve">TikTok</t>
  </si>
  <si>
    <t xml:space="preserve">Paciente 18-35</t>
  </si>
  <si>
    <t xml:space="preserve">Watch time &gt;3s</t>
  </si>
  <si>
    <t xml:space="preserve">78%</t>
  </si>
  <si>
    <t xml:space="preserve">Completion rate</t>
  </si>
  <si>
    <t xml:space="preserve">42%</t>
  </si>
  <si>
    <t xml:space="preserve">Shares/1K views</t>
  </si>
  <si>
    <t xml:space="preserve">6</t>
  </si>
  <si>
    <t xml:space="preserve">2-3 videos</t>
  </si>
  <si>
    <t xml:space="preserve">V2 Reels-style + V6 teal</t>
  </si>
  <si>
    <t xml:space="preserve">20-30k</t>
  </si>
  <si>
    <t xml:space="preserve">Facebook Feed</t>
  </si>
  <si>
    <t xml:space="preserve">Paciente 40-65 (mayoría mujer, decisor hogar)</t>
  </si>
  <si>
    <t xml:space="preserve">4:5 1080×1350</t>
  </si>
  <si>
    <t xml:space="preserve">Reach orgánico</t>
  </si>
  <si>
    <t xml:space="preserve">12% del base</t>
  </si>
  <si>
    <t xml:space="preserve">Link clicks/impr.</t>
  </si>
  <si>
    <t xml:space="preserve">1.4%</t>
  </si>
  <si>
    <t xml:space="preserve">Share rate</t>
  </si>
  <si>
    <t xml:space="preserve">0.9%</t>
  </si>
  <si>
    <t xml:space="preserve">2 posts</t>
  </si>
  <si>
    <t xml:space="preserve">V4 bacteriológica + V5 contextual</t>
  </si>
  <si>
    <t xml:space="preserve">15-25k</t>
  </si>
  <si>
    <t xml:space="preserve">Facebook Grupos</t>
  </si>
  <si>
    <t xml:space="preserve">Pacientes en foros de salud</t>
  </si>
  <si>
    <t xml:space="preserve">4:5</t>
  </si>
  <si>
    <t xml:space="preserve">Comments</t>
  </si>
  <si>
    <t xml:space="preserve">8 por post</t>
  </si>
  <si>
    <t xml:space="preserve">Reacciones empáticas</t>
  </si>
  <si>
    <t xml:space="preserve">18%</t>
  </si>
  <si>
    <t xml:space="preserve">CTR a portal</t>
  </si>
  <si>
    <t xml:space="preserve">2.2%</t>
  </si>
  <si>
    <t xml:space="preserve">1 post + respuestas</t>
  </si>
  <si>
    <t xml:space="preserve">V4 educativa</t>
  </si>
  <si>
    <t xml:space="preserve">N/A</t>
  </si>
  <si>
    <t xml:space="preserve">LinkedIn</t>
  </si>
  <si>
    <t xml:space="preserve">HCP especialistas + KAMs</t>
  </si>
  <si>
    <t xml:space="preserve">1:1 + 16:9</t>
  </si>
  <si>
    <t xml:space="preserve">Impresiones HCP</t>
  </si>
  <si>
    <t xml:space="preserve">35% HCP/total</t>
  </si>
  <si>
    <t xml:space="preserve">Especialistas engagement</t>
  </si>
  <si>
    <t xml:space="preserve">2.8%</t>
  </si>
  <si>
    <t xml:space="preserve">Click→/para-medicos</t>
  </si>
  <si>
    <t xml:space="preserve">3.1%</t>
  </si>
  <si>
    <t xml:space="preserve">1-2 posts</t>
  </si>
  <si>
    <t xml:space="preserve">V3 datos + V5 infografía</t>
  </si>
  <si>
    <t xml:space="preserve">10-18k</t>
  </si>
  <si>
    <t xml:space="preserve">X (Twitter)</t>
  </si>
  <si>
    <t xml:space="preserve">HCP + divulgadores</t>
  </si>
  <si>
    <t xml:space="preserve">16:9 + hilos</t>
  </si>
  <si>
    <t xml:space="preserve">Impresiones</t>
  </si>
  <si>
    <t xml:space="preserve">12k/post</t>
  </si>
  <si>
    <t xml:space="preserve">Engagement</t>
  </si>
  <si>
    <t xml:space="preserve">Quote tweets</t>
  </si>
  <si>
    <t xml:space="preserve">0.6%</t>
  </si>
  <si>
    <t xml:space="preserve">3-5 tweets + 1 hilo</t>
  </si>
  <si>
    <t xml:space="preserve">V3 datos + V6 teal</t>
  </si>
  <si>
    <t xml:space="preserve">YouTube Shorts</t>
  </si>
  <si>
    <t xml:space="preserve">Paciente + familia</t>
  </si>
  <si>
    <t xml:space="preserve">9:16 &lt;60s</t>
  </si>
  <si>
    <t xml:space="preserve">Views orgánicas</t>
  </si>
  <si>
    <t xml:space="preserve">8k/video</t>
  </si>
  <si>
    <t xml:space="preserve">Like rate</t>
  </si>
  <si>
    <t xml:space="preserve">5%</t>
  </si>
  <si>
    <t xml:space="preserve">Subs ganados</t>
  </si>
  <si>
    <t xml:space="preserve">+150/mes</t>
  </si>
  <si>
    <t xml:space="preserve">2 shorts + 1 video largo</t>
  </si>
  <si>
    <t xml:space="preserve">V2 + V4 animada</t>
  </si>
  <si>
    <t xml:space="preserve">15-20k</t>
  </si>
  <si>
    <t xml:space="preserve">TOTALES</t>
  </si>
  <si>
    <t xml:space="preserve">19-22 pcs/sem</t>
  </si>
  <si>
    <t xml:space="preserve">115-168k MXN/mes</t>
  </si>
  <si>
    <t xml:space="preserve">Fuentes: benchmarks Meta Business Suite LATAM 2025 Q3 + TikTok For Business Mexico Pharma Report 2025 + LinkedIn Marketing Solutions HCP Benchmark 2024 + data histórica Polar Multimedia campañas pharma 2023-2025.</t>
  </si>
  <si>
    <t xml:space="preserve">Variante</t>
  </si>
  <si>
    <t xml:space="preserve">Descripción</t>
  </si>
  <si>
    <t xml:space="preserve">IG Feed</t>
  </si>
  <si>
    <t xml:space="preserve">IG Stories</t>
  </si>
  <si>
    <t xml:space="preserve">Facebook</t>
  </si>
  <si>
    <t xml:space="preserve">X</t>
  </si>
  <si>
    <t xml:space="preserve">YouTube</t>
  </si>
  <si>
    <t xml:space="preserve">KOLs</t>
  </si>
  <si>
    <t xml:space="preserve">Portal web</t>
  </si>
  <si>
    <t xml:space="preserve">V0 Fotográfica</t>
  </si>
  <si>
    <t xml:space="preserve">Persona hispana + halo teal + cifra grande. Máxima identificación humana.</t>
  </si>
  <si>
    <t xml:space="preserve">★★★</t>
  </si>
  <si>
    <t xml:space="preserve">★★</t>
  </si>
  <si>
    <t xml:space="preserve">★</t>
  </si>
  <si>
    <t xml:space="preserve">V1 Tipográfica</t>
  </si>
  <si>
    <t xml:space="preserve">Cifra 420pt + textura franja. Sin foto. Para afirmaciones contundentes.</t>
  </si>
  <si>
    <t xml:space="preserve">V2 Dinámica Reels</t>
  </si>
  <si>
    <t xml:space="preserve">Secuencia de 3-5 fotogramas. Ritmo narrativo. Nativo de vídeo vertical.</t>
  </si>
  <si>
    <t xml:space="preserve">—</t>
  </si>
  <si>
    <t xml:space="preserve">V3 Datos clínicos</t>
  </si>
  <si>
    <t xml:space="preserve">Infografía con gráficas + referencias. Tono HCP.</t>
  </si>
  <si>
    <t xml:space="preserve">V4 Bacteriológica</t>
  </si>
  <si>
    <t xml:space="preserve">Render 3D estómago + pasos numerados. Educativo profundo.</t>
  </si>
  <si>
    <t xml:space="preserve">V5 Contextual</t>
  </si>
  <si>
    <t xml:space="preserve">Mapa México + cinta teal + dato territorial. Anclaje regional.</t>
  </si>
  <si>
    <t xml:space="preserve">V6 Diagnóstico teal</t>
  </si>
  <si>
    <t xml:space="preserve">Fondo teal completo + iconografía blanca. Tono clínico sereno.</t>
  </si>
  <si>
    <t xml:space="preserve">Leyenda: ★★★ primera elección · ★★ complementaria · ★ uso esporádico · — no aplica. La elección por semana se toma de Decisión_Algoritmica según objetivo del ciclo + data histórica.</t>
  </si>
  <si>
    <t xml:space="preserve">Día</t>
  </si>
  <si>
    <t xml:space="preserve">IG Reels</t>
  </si>
  <si>
    <t xml:space="preserve">YT Shorts</t>
  </si>
  <si>
    <t xml:space="preserve">KOL post</t>
  </si>
  <si>
    <t xml:space="preserve">Portal art.</t>
  </si>
  <si>
    <t xml:space="preserve">Total pcs/día</t>
  </si>
  <si>
    <t xml:space="preserve">Lunes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</si>
  <si>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</si>
  <si>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</si>
  <si>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</si>
  <si>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</si>
  <si>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</si>
  <si>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</si>
  <si>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Total/semana</t>
  </si>
  <si>
    <t xml:space="preserve">Distribución tipo para 1 semana promedio de ciclo activo. El volumen se modula ±30% según fechas clave (Día Mundial Salud Digestiva 29-May, Día Mundial Sin Tabaco 31-May, Mes Prev. Cáncer Nov). KOL post y Portal art. cuentan una vez — se amplifican orgánicamente después.</t>
  </si>
  <si>
    <t xml:space="preserve">Vector de decisión</t>
  </si>
  <si>
    <t xml:space="preserve">Peso (%)</t>
  </si>
  <si>
    <t xml:space="preserve">Input</t>
  </si>
  <si>
    <t xml:space="preserve">Valores posibles</t>
  </si>
  <si>
    <t xml:space="preserve">Cómo se captura</t>
  </si>
  <si>
    <t xml:space="preserve">Objetivo del ciclo</t>
  </si>
  <si>
    <t xml:space="preserve">Brief mensual</t>
  </si>
  <si>
    <t xml:space="preserve">Awareness · Educación · Detección · Tratamiento · Adherencia</t>
  </si>
  <si>
    <t xml:space="preserve">Brief estratégico de Polar aprobado por Carnot</t>
  </si>
  <si>
    <t xml:space="preserve">Performance histórica</t>
  </si>
  <si>
    <t xml:space="preserve">Analytics</t>
  </si>
  <si>
    <t xml:space="preserve">Engagement, save rate, CTR mes anterior por red × variante</t>
  </si>
  <si>
    <t xml:space="preserve">Firebase RTDB + APIs nativas de cada red (Meta/TikTok/LI)</t>
  </si>
  <si>
    <t xml:space="preserve">Audiencia activa de la semana</t>
  </si>
  <si>
    <t xml:space="preserve">Calendario</t>
  </si>
  <si>
    <t xml:space="preserve">HCP vs paciente según día y hora</t>
  </si>
  <si>
    <t xml:space="preserve">Calendario editorial Polar + estacionalidad</t>
  </si>
  <si>
    <t xml:space="preserve">Estacionalidad / efemérides</t>
  </si>
  <si>
    <t xml:space="preserve">Días mundiales salud, meses de conciencia, temporadas</t>
  </si>
  <si>
    <t xml:space="preserve">Calendario anual efemérides pharma 2026</t>
  </si>
  <si>
    <t xml:space="preserve">Presupuesto de pauta</t>
  </si>
  <si>
    <t xml:space="preserve">Cuenta Carnot</t>
  </si>
  <si>
    <t xml:space="preserve">$ disponible del mes × red</t>
  </si>
  <si>
    <t xml:space="preserve">Plan de pauta mensual Excel</t>
  </si>
  <si>
    <t xml:space="preserve">Disponibilidad de KOL</t>
  </si>
  <si>
    <t xml:space="preserve">Agendas KOLs</t>
  </si>
  <si>
    <t xml:space="preserve">Días en que cada KOL publica (acuerdo contractual)</t>
  </si>
  <si>
    <t xml:space="preserve">Contratos individuales + check-ins semanales</t>
  </si>
  <si>
    <t xml:space="preserve">Compliance override</t>
  </si>
  <si>
    <t xml:space="preserve">Aprobación Carnot</t>
  </si>
  <si>
    <t xml:space="preserve">Bloqueo temporal si hay pendiente legal</t>
  </si>
  <si>
    <t xml:space="preserve">Estado en hub sistema_piezas_AMG_Hub.html</t>
  </si>
  <si>
    <t xml:space="preserve">TOTAL</t>
  </si>
  <si>
    <t xml:space="preserve">Cómo opera el algoritmo: cada lunes Polar corre el modelo con los 7 vectores, produce un ranking de piezas candidatas por cada slot del calendario semanal (redes × días), Claude + nanobanana generan las variantes, equipo Polar revisa en hub, Carnot aprueba, se programan. El resultado se compara con performance real al cierre del mes y realimenta el vector "performance histórica" del siguiente ciclo.</t>
  </si>
  <si>
    <t xml:space="preserve">KOL</t>
  </si>
  <si>
    <t xml:space="preserve">Especialidad</t>
  </si>
  <si>
    <t xml:space="preserve">Plataforma principal</t>
  </si>
  <si>
    <t xml:space="preserve">Audiencia</t>
  </si>
  <si>
    <t xml:space="preserve">Temperatura relación</t>
  </si>
  <si>
    <t xml:space="preserve">Pack mensual (deliverables)</t>
  </si>
  <si>
    <t xml:space="preserve">Honorarios estimados</t>
  </si>
  <si>
    <t xml:space="preserve">KPI primario</t>
  </si>
  <si>
    <t xml:space="preserve">Aval AMG co-firma</t>
  </si>
  <si>
    <t xml:space="preserve">Dr. José María Remes-Troche</t>
  </si>
  <si>
    <t xml:space="preserve">Gastroenterología</t>
  </si>
  <si>
    <t xml:space="preserve">LinkedIn + X</t>
  </si>
  <si>
    <t xml:space="preserve">HCP 45k total</t>
  </si>
  <si>
    <t xml:space="preserve">Caliente — historia Carnot</t>
  </si>
  <si>
    <t xml:space="preserve">1 post LinkedIn · 1 hilo X · 1 video 60s consultorio · 1 webinar trimestral</t>
  </si>
  <si>
    <t xml:space="preserve">$45-65k MXN</t>
  </si>
  <si>
    <t xml:space="preserve">Engagement HCP</t>
  </si>
  <si>
    <t xml:space="preserve">Sí</t>
  </si>
  <si>
    <t xml:space="preserve">Dra. Luisa Valdovinos</t>
  </si>
  <si>
    <t xml:space="preserve">IG + LinkedIn</t>
  </si>
  <si>
    <t xml:space="preserve">Mixto 80k</t>
  </si>
  <si>
    <t xml:space="preserve">Caliente — KOL histórica</t>
  </si>
  <si>
    <t xml:space="preserve">2 posts IG · 1 Reel · 1 post LinkedIn · participación panel AMG</t>
  </si>
  <si>
    <t xml:space="preserve">$40-55k MXN</t>
  </si>
  <si>
    <t xml:space="preserve">Engagement mixto</t>
  </si>
  <si>
    <t xml:space="preserve">Dr. Ramón Coss Adame</t>
  </si>
  <si>
    <t xml:space="preserve">LinkedIn + Twitter</t>
  </si>
  <si>
    <t xml:space="preserve">HCP 28k</t>
  </si>
  <si>
    <t xml:space="preserve">Tibio — en construcción</t>
  </si>
  <si>
    <t xml:space="preserve">1 post LinkedIn · 1 hilo X · referencias bibliográficas</t>
  </si>
  <si>
    <t xml:space="preserve">$30-40k MXN</t>
  </si>
  <si>
    <t xml:space="preserve">Citación por otros KOLs</t>
  </si>
  <si>
    <t xml:space="preserve">Dra. Especialista junior (por definir)</t>
  </si>
  <si>
    <t xml:space="preserve">MI / Gastro</t>
  </si>
  <si>
    <t xml:space="preserve">IG + TikTok</t>
  </si>
  <si>
    <t xml:space="preserve">Paciente joven 50-120k</t>
  </si>
  <si>
    <t xml:space="preserve">En reclutamiento</t>
  </si>
  <si>
    <t xml:space="preserve">3 Reels · 2 posts · 1 colaboración con paciente</t>
  </si>
  <si>
    <t xml:space="preserve">$25-35k MXN</t>
  </si>
  <si>
    <t xml:space="preserve">Alcance orgánico paciente</t>
  </si>
  <si>
    <t xml:space="preserve">Sí (co-firma)</t>
  </si>
  <si>
    <t xml:space="preserve">Médico divulgador (tipo Dr. Vic)</t>
  </si>
  <si>
    <t xml:space="preserve">Divulgación</t>
  </si>
  <si>
    <t xml:space="preserve">TikTok + YT Shorts</t>
  </si>
  <si>
    <t xml:space="preserve">Paciente masivo 200k+</t>
  </si>
  <si>
    <t xml:space="preserve">2 TikToks · 2 Shorts · 1 colaboración con paciente real</t>
  </si>
  <si>
    <t xml:space="preserve">$35-50k MXN</t>
  </si>
  <si>
    <t xml:space="preserve">Views + comentarios útiles</t>
  </si>
  <si>
    <t xml:space="preserve">No (solo mención)</t>
  </si>
  <si>
    <t xml:space="preserve">Enfermera divulgadora</t>
  </si>
  <si>
    <t xml:space="preserve">Atención primaria</t>
  </si>
  <si>
    <t xml:space="preserve">IG + Facebook</t>
  </si>
  <si>
    <t xml:space="preserve">Paciente femenino adulto</t>
  </si>
  <si>
    <t xml:space="preserve">2 posts · 3 Stories · testimonio de campo</t>
  </si>
  <si>
    <t xml:space="preserve">$15-25k MXN</t>
  </si>
  <si>
    <t xml:space="preserve">Save rate + comments</t>
  </si>
  <si>
    <t xml:space="preserve">TOTAL mes (estimado)</t>
  </si>
  <si>
    <t xml:space="preserve">$190-270k MXN</t>
  </si>
  <si>
    <t xml:space="preserve">Los KOLs reciben "Pack de Ciclo" cada mes con: (1) brief clínico + referencias; (2) copy sugerido en su voz; (3) artes listas para su cuenta con paleta ligada a campaña (sello AMG + hashtag #MéxicoSinCáncerGástrico); (4) video intro de 30s con Carnot. El pack se entrega desde el hub sistema_piezas con una URL privada por KOL. Contratos con cláusula de compliance pharma + derecho de auditoría post-publicación por AMG.</t>
  </si>
  <si>
    <t xml:space="preserve">Métrica</t>
  </si>
  <si>
    <t xml:space="preserve">Media pharma MX</t>
  </si>
  <si>
    <t xml:space="preserve">Top decile</t>
  </si>
  <si>
    <t xml:space="preserve">Nuestra meta ciclo 1</t>
  </si>
  <si>
    <t xml:space="preserve">Stretch goal</t>
  </si>
  <si>
    <t xml:space="preserve">Fuente</t>
  </si>
  <si>
    <t xml:space="preserve">IG engagement rate (pharma OTC)</t>
  </si>
  <si>
    <t xml:space="preserve">4.2%</t>
  </si>
  <si>
    <t xml:space="preserve">4.5%</t>
  </si>
  <si>
    <t xml:space="preserve">Hootsuite Social Media Benchmark MX 2025</t>
  </si>
  <si>
    <t xml:space="preserve">IG save rate (salud)</t>
  </si>
  <si>
    <t xml:space="preserve">2.4%</t>
  </si>
  <si>
    <t xml:space="preserve">3.0%</t>
  </si>
  <si>
    <t xml:space="preserve">Meta Business LATAM 2025 Q3</t>
  </si>
  <si>
    <t xml:space="preserve">TikTok watch time &gt;3s (salud)</t>
  </si>
  <si>
    <t xml:space="preserve">58%</t>
  </si>
  <si>
    <t xml:space="preserve">84%</t>
  </si>
  <si>
    <t xml:space="preserve">85%</t>
  </si>
  <si>
    <t xml:space="preserve">TikTok For Business Pharma 2025</t>
  </si>
  <si>
    <t xml:space="preserve">LinkedIn HCP engagement</t>
  </si>
  <si>
    <t xml:space="preserve">1.3%</t>
  </si>
  <si>
    <t xml:space="preserve">3.5%</t>
  </si>
  <si>
    <t xml:space="preserve">4.0%</t>
  </si>
  <si>
    <t xml:space="preserve">LinkedIn Marketing Solutions HCP 2024</t>
  </si>
  <si>
    <t xml:space="preserve">Facebook reach orgánico 40-65f</t>
  </si>
  <si>
    <t xml:space="preserve">6-9%</t>
  </si>
  <si>
    <t xml:space="preserve">14-18%</t>
  </si>
  <si>
    <t xml:space="preserve">12%</t>
  </si>
  <si>
    <t xml:space="preserve">16%</t>
  </si>
  <si>
    <t xml:space="preserve">Meta Insights pharma MX 2025</t>
  </si>
  <si>
    <t xml:space="preserve">CTR a landing detección</t>
  </si>
  <si>
    <t xml:space="preserve">0.8%</t>
  </si>
  <si>
    <t xml:space="preserve">1.5%</t>
  </si>
  <si>
    <t xml:space="preserve">Google Ads Healthcare MX 2024</t>
  </si>
  <si>
    <t xml:space="preserve">CPA registro detección</t>
  </si>
  <si>
    <t xml:space="preserve">$320 MXN</t>
  </si>
  <si>
    <t xml:space="preserve">$180 MXN</t>
  </si>
  <si>
    <t xml:space="preserve">$240 MXN</t>
  </si>
  <si>
    <t xml:space="preserve">Polar Multimedia histórico 2024</t>
  </si>
  <si>
    <t xml:space="preserve">Adopción vocabulario (encuesta post)</t>
  </si>
  <si>
    <t xml:space="preserve">35%</t>
  </si>
  <si>
    <t xml:space="preserve">50%</t>
  </si>
  <si>
    <t xml:space="preserve">Metodología Polar — survey mensual</t>
  </si>
  <si>
    <t xml:space="preserve">Prescripciones Ki-CAB nuevas (reps)</t>
  </si>
  <si>
    <t xml:space="preserve">+12%</t>
  </si>
  <si>
    <t xml:space="preserve">+22%</t>
  </si>
  <si>
    <t xml:space="preserve">Close Up IMS MX mensual</t>
  </si>
  <si>
    <t xml:space="preserve">Alcance orgánico KOL post</t>
  </si>
  <si>
    <t xml:space="preserve">15k/post</t>
  </si>
  <si>
    <t xml:space="preserve">60k/post</t>
  </si>
  <si>
    <t xml:space="preserve">30k/post</t>
  </si>
  <si>
    <t xml:space="preserve">75k/post</t>
  </si>
  <si>
    <t xml:space="preserve">Data histórica Polar 2023-2025</t>
  </si>
  <si>
    <t xml:space="preserve">Los benchmarks se revisan trimestralmente en reunión conjunta Polar-Carnot. Las metas por ciclo se ajustan después de los primeros 60 días con data propia. Fuentes de terceros se citan en reporte mensual para contextualizar resultados ante comité Carnot.</t>
  </si>
  <si>
    <t xml:space="preserve">Dato/Métrica</t>
  </si>
  <si>
    <t xml:space="preserve">Fuente primaria</t>
  </si>
  <si>
    <t xml:space="preserve">Frecuencia</t>
  </si>
  <si>
    <t xml:space="preserve">Destino en sistema</t>
  </si>
  <si>
    <t xml:space="preserve">Responsable</t>
  </si>
  <si>
    <t xml:space="preserve">Mensajes aprobados Carnot/AMG</t>
  </si>
  <si>
    <t xml:space="preserve">Brief clínico Carnot + Libro de mensajes AMG</t>
  </si>
  <si>
    <t xml:space="preserve">Trimestral</t>
  </si>
  <si>
    <t xml:space="preserve">Skill amg-pylori · references/sistema-visual.md</t>
  </si>
  <si>
    <t xml:space="preserve">Dir. Científica Polar</t>
  </si>
  <si>
    <t xml:space="preserve">Calendario editorial 35 semanas</t>
  </si>
  <si>
    <t xml:space="preserve">Calendario_Contenidos_Textual_May-Dic_2026.xlsx</t>
  </si>
  <si>
    <t xml:space="preserve">Revisión mensual</t>
  </si>
  <si>
    <t xml:space="preserve">data/claims.json del hub</t>
  </si>
  <si>
    <t xml:space="preserve">Dir. Estrategia Polar</t>
  </si>
  <si>
    <t xml:space="preserve">Canon visual (paleta, franja, halo)</t>
  </si>
  <si>
    <t xml:space="preserve">Brand guidelines AMG + Carnot Ki-CAB</t>
  </si>
  <si>
    <t xml:space="preserve">Semi-anual</t>
  </si>
  <si>
    <t xml:space="preserve">css/hub-v2.css + skill polar-piezas-visuales</t>
  </si>
  <si>
    <t xml:space="preserve">Dir. Creativa Polar</t>
  </si>
  <si>
    <t xml:space="preserve">Fotos personajes hispanos</t>
  </si>
  <si>
    <t xml:space="preserve">Generadas con OpenAI gpt-image-1 + prompts canónicos</t>
  </si>
  <si>
    <t xml:space="preserve">Por ciclo</t>
  </si>
  <si>
    <t xml:space="preserve">HUB_AMG_PYLORI/brand_amg/*.png</t>
  </si>
  <si>
    <t xml:space="preserve">Dir. Creativa + IA</t>
  </si>
  <si>
    <t xml:space="preserve">Performance redes sociales</t>
  </si>
  <si>
    <t xml:space="preserve">APIs Meta Graph + TikTok Business + LinkedIn Analytics</t>
  </si>
  <si>
    <t xml:space="preserve">Diario</t>
  </si>
  <si>
    <t xml:space="preserve">Firebase RTDB nodo /analytics_* + reporte mensual</t>
  </si>
  <si>
    <t xml:space="preserve">Dir. Paid Media Polar</t>
  </si>
  <si>
    <t xml:space="preserve">Engagement hub interno</t>
  </si>
  <si>
    <t xml:space="preserve">Firebase Realtime Database polar-amg-hub-2026</t>
  </si>
  <si>
    <t xml:space="preserve">Tiempo real</t>
  </si>
  <si>
    <t xml:space="preserve">Dashboard Polar interno</t>
  </si>
  <si>
    <t xml:space="preserve">Dir. Tecnología Polar</t>
  </si>
  <si>
    <t xml:space="preserve">Analytics Visita Médica PWA</t>
  </si>
  <si>
    <t xml:space="preserve">Firebase RTDB nodo /vm_amg_2026/events</t>
  </si>
  <si>
    <t xml:space="preserve">Tiempo real (sync al hay internet)</t>
  </si>
  <si>
    <t xml:space="preserve">Dashboard gerencia fuerza de ventas</t>
  </si>
  <si>
    <t xml:space="preserve">Dir. Ventas Carnot</t>
  </si>
  <si>
    <t xml:space="preserve">Prescripciones Ki-CAB</t>
  </si>
  <si>
    <t xml:space="preserve">Close Up IMS / Dataview Rx MX</t>
  </si>
  <si>
    <t xml:space="preserve">Mensual</t>
  </si>
  <si>
    <t xml:space="preserve">Anexo reporte mensual Polar</t>
  </si>
  <si>
    <t xml:space="preserve">Dir. Comercial Carnot</t>
  </si>
  <si>
    <t xml:space="preserve">Sentimiento redes</t>
  </si>
  <si>
    <t xml:space="preserve">Listening manual Polar + Brandwatch (si disponible)</t>
  </si>
  <si>
    <t xml:space="preserve">Semanal</t>
  </si>
  <si>
    <t xml:space="preserve">Performance report mensual</t>
  </si>
  <si>
    <t xml:space="preserve">Feedback médicos post-visita</t>
  </si>
  <si>
    <t xml:space="preserve">Formulario QR post-visita + bitácora rep en tablet</t>
  </si>
  <si>
    <t xml:space="preserve">Por visita</t>
  </si>
  <si>
    <t xml:space="preserve">Firebase /vm_amg_2026/feedbacks</t>
  </si>
  <si>
    <t xml:space="preserve">Gerencia regional Carnot</t>
  </si>
  <si>
    <t xml:space="preserve">Referencias clínicas</t>
  </si>
  <si>
    <t xml:space="preserve">PubMed + literatura aprobada AMG</t>
  </si>
  <si>
    <t xml:space="preserve">Cada claim carga sus refs inline</t>
  </si>
  <si>
    <t xml:space="preserve">Dir. Científica Polar + AMG</t>
  </si>
  <si>
    <t xml:space="preserve">Compliance pharma MX</t>
  </si>
  <si>
    <t xml:space="preserve">COFEPRIS + autoregulación industria (CETIFARMA)</t>
  </si>
  <si>
    <t xml:space="preserve">Auditoría trimestral</t>
  </si>
  <si>
    <t xml:space="preserve">Matriz compliance hub-social.skill</t>
  </si>
  <si>
    <t xml:space="preserve">Legal Carnot</t>
  </si>
  <si>
    <t xml:space="preserve">Analytics KOLs</t>
  </si>
  <si>
    <t xml:space="preserve">Posts públicos + reporte mensual de cada KOL</t>
  </si>
  <si>
    <t xml:space="preserve">Reporte KOL consolidado</t>
  </si>
  <si>
    <t xml:space="preserve">Dir. Influencer Polar</t>
  </si>
  <si>
    <t xml:space="preserve">Costos de pauta</t>
  </si>
  <si>
    <t xml:space="preserve">Meta Ads Manager + TikTok Ads + LinkedIn Campaign Mgr</t>
  </si>
  <si>
    <t xml:space="preserve">Plan de pauta Excel mensual</t>
  </si>
  <si>
    <t xml:space="preserve">Todo dato que alimenta el sistema debe tener fuente identificable y responsable asignado. Data que no pase estos dos filtros no entra al modelo de decisión. Compliance pharma exige trazabilidad de cada mensaje publicado: desde la fuente clínica hasta la pieza final que sale a red. Ver Matriz_Compliance en skill hub-social.skill para la cadena de custodia completa.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</si>
</sst>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0285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4B556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02850"/>
      <name val="Arial"/>
      <family val="0"/>
      <charset val="1"/>
    </font>
    <font>
      <sz val="10"/>
      <color rgb="FF4B5563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4B5563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83888"/>
        <bgColor rgb="FF102850"/>
      </patternFill>
    </fill>
    <fill>
      <patternFill patternType="solid">
        <fgColor rgb="FF30B8B0"/>
        <bgColor rgb="FF339966"/>
      </patternFill>
    </fill>
    <fill>
      <patternFill patternType="solid">
        <fgColor rgb="FFF3F4F6"/>
        <bgColor rgb="FFFFFFFF"/>
      </patternFill>
    </fill>
    <fill>
      <patternFill patternType="solid">
        <fgColor rgb="FFD6F0EE"/>
        <bgColor rgb="FFCCFFFF"/>
      </patternFill>
    </fill>
    <fill>
      <patternFill patternType="solid">
        <fgColor rgb="FFFFFFFF"/>
        <bgColor rgb="FFF3F4F6"/>
      </patternFill>
    </fill>
    <fill>
      <patternFill patternType="solid">
        <fgColor rgb="FF887028"/>
        <bgColor rgb="FF808080"/>
      </patternFill>
    </fill>
    <fill>
      <patternFill patternType="solid">
        <fgColor rgb="FFF3E9CC"/>
        <bgColor rgb="FFF3F4F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/>
      <top style="thin">
        <color rgb="FFD1D5D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87028"/>
      <rgbColor rgb="FF800080"/>
      <rgbColor rgb="FF008080"/>
      <rgbColor rgb="FFC0C0C0"/>
      <rgbColor rgb="FF808080"/>
      <rgbColor rgb="FF9999FF"/>
      <rgbColor rgb="FF993366"/>
      <rgbColor rgb="FFF3F4F6"/>
      <rgbColor rgb="FFD6F0E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3E9CC"/>
      <rgbColor rgb="FF99CCFF"/>
      <rgbColor rgb="FFFF99CC"/>
      <rgbColor rgb="FFCC99FF"/>
      <rgbColor rgb="FFFFCC99"/>
      <rgbColor rgb="FF3366FF"/>
      <rgbColor rgb="FF30B8B0"/>
      <rgbColor rgb="FF99CC00"/>
      <rgbColor rgb="FFFFCC00"/>
      <rgbColor rgb="FFFF9900"/>
      <rgbColor rgb="FFFF6600"/>
      <rgbColor rgb="FF4B5563"/>
      <rgbColor rgb="FF969696"/>
      <rgbColor rgb="FF102850"/>
      <rgbColor rgb="FF339966"/>
      <rgbColor rgb="FF003300"/>
      <rgbColor rgb="FF333300"/>
      <rgbColor rgb="FF993300"/>
      <rgbColor rgb="FF993366"/>
      <rgbColor rgb="FF18388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70"/>
  </cols>
  <sheetData>
    <row r="1" customFormat="false" ht="7.5" hidden="false" customHeight="true" outlineLevel="0" collapsed="false"/>
    <row r="2" customFormat="false" ht="42" hidden="false" customHeight="true" outlineLevel="0" collapsed="false">
      <c r="B2" s="1" t="s">
        <v>0</v>
      </c>
      <c r="C2" s="1"/>
    </row>
    <row r="3" customFormat="false" ht="15" hidden="false" customHeight="true" outlineLevel="0" collapsed="false">
      <c r="B3" s="2" t="s">
        <v>1</v>
      </c>
      <c r="C3" s="2"/>
    </row>
    <row r="5" customFormat="false" ht="21.75" hidden="false" customHeight="true" outlineLevel="0" collapsed="false">
      <c r="B5" s="3" t="s">
        <v>2</v>
      </c>
      <c r="C5" s="4" t="s">
        <v>3</v>
      </c>
    </row>
    <row r="6" customFormat="false" ht="21.75" hidden="false" customHeight="true" outlineLevel="0" collapsed="false">
      <c r="B6" s="3" t="s">
        <v>4</v>
      </c>
      <c r="C6" s="4" t="s">
        <v>5</v>
      </c>
    </row>
    <row r="7" customFormat="false" ht="21.75" hidden="false" customHeight="true" outlineLevel="0" collapsed="false">
      <c r="B7" s="3" t="s">
        <v>6</v>
      </c>
      <c r="C7" s="4" t="s">
        <v>7</v>
      </c>
    </row>
    <row r="8" customFormat="false" ht="21.75" hidden="false" customHeight="true" outlineLevel="0" collapsed="false">
      <c r="B8" s="3" t="s">
        <v>8</v>
      </c>
      <c r="C8" s="4" t="s">
        <v>9</v>
      </c>
    </row>
    <row r="9" customFormat="false" ht="21.75" hidden="false" customHeight="true" outlineLevel="0" collapsed="false">
      <c r="B9" s="3" t="s">
        <v>10</v>
      </c>
      <c r="C9" s="4" t="s">
        <v>11</v>
      </c>
    </row>
    <row r="10" customFormat="false" ht="21.75" hidden="false" customHeight="true" outlineLevel="0" collapsed="false">
      <c r="B10" s="3" t="s">
        <v>12</v>
      </c>
      <c r="C10" s="4" t="s">
        <v>13</v>
      </c>
    </row>
    <row r="11" customFormat="false" ht="21.75" hidden="false" customHeight="true" outlineLevel="0" collapsed="false">
      <c r="B11" s="3" t="s">
        <v>14</v>
      </c>
      <c r="C11" s="4" t="s">
        <v>15</v>
      </c>
    </row>
    <row r="12" customFormat="false" ht="21.75" hidden="false" customHeight="true" outlineLevel="0" collapsed="false">
      <c r="B12" s="3" t="s">
        <v>16</v>
      </c>
      <c r="C12" s="4" t="s">
        <v>17</v>
      </c>
    </row>
    <row r="13" customFormat="false" ht="21.75" hidden="false" customHeight="true" outlineLevel="0" collapsed="false">
      <c r="B13" s="3" t="s">
        <v>18</v>
      </c>
      <c r="C13" s="4" t="s">
        <v>19</v>
      </c>
    </row>
    <row r="14" customFormat="false" ht="21.75" hidden="false" customHeight="true" outlineLevel="0" collapsed="false">
      <c r="B14" s="3" t="s">
        <v>20</v>
      </c>
      <c r="C14" s="4" t="s">
        <v>21</v>
      </c>
    </row>
    <row r="16" customFormat="false" ht="13.5" hidden="false" customHeight="true" outlineLevel="0" collapsed="false"/>
    <row r="17" customFormat="false" ht="15" hidden="false" customHeight="true" outlineLevel="0" collapsed="false">
      <c r="B17" s="5" t="s">
        <v>22</v>
      </c>
      <c r="C17" s="5"/>
    </row>
    <row r="18" customFormat="false" ht="15" hidden="false" customHeight="false" outlineLevel="0" collapsed="false">
      <c r="B18" s="6" t="s">
        <v>23</v>
      </c>
      <c r="C18" s="4" t="s">
        <v>24</v>
      </c>
    </row>
    <row r="19" customFormat="false" ht="15" hidden="false" customHeight="false" outlineLevel="0" collapsed="false">
      <c r="B19" s="6" t="s">
        <v>25</v>
      </c>
      <c r="C19" s="4" t="s">
        <v>26</v>
      </c>
    </row>
    <row r="20" customFormat="false" ht="15" hidden="false" customHeight="false" outlineLevel="0" collapsed="false">
      <c r="B20" s="6" t="s">
        <v>27</v>
      </c>
      <c r="C20" s="4" t="s">
        <v>28</v>
      </c>
    </row>
    <row r="21" customFormat="false" ht="15" hidden="false" customHeight="false" outlineLevel="0" collapsed="false">
      <c r="B21" s="6" t="s">
        <v>29</v>
      </c>
      <c r="C21" s="4" t="s">
        <v>30</v>
      </c>
    </row>
    <row r="22" customFormat="false" ht="15" hidden="false" customHeight="false" outlineLevel="0" collapsed="false">
      <c r="B22" s="6" t="s">
        <v>31</v>
      </c>
      <c r="C22" s="4" t="s">
        <v>32</v>
      </c>
    </row>
    <row r="23" customFormat="false" ht="15" hidden="false" customHeight="false" outlineLevel="0" collapsed="false">
      <c r="B23" s="6" t="s">
        <v>33</v>
      </c>
      <c r="C23" s="4" t="s">
        <v>34</v>
      </c>
    </row>
    <row r="24" customFormat="false" ht="15" hidden="false" customHeight="false" outlineLevel="0" collapsed="false">
      <c r="B24" s="6" t="s">
        <v>35</v>
      </c>
      <c r="C24" s="4" t="s">
        <v>36</v>
      </c>
    </row>
  </sheetData>
  <mergeCells count="3">
    <mergeCell ref="B2:C2"/>
    <mergeCell ref="B3:C3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15"/>
    <col collapsed="false" customWidth="true" hidden="false" outlineLevel="0" max="8" min="8" style="0" width="18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2" min="11" style="0" width="22"/>
  </cols>
  <sheetData>
    <row r="1" customFormat="false" ht="39.75" hidden="false" customHeight="true" outlineLevel="0" collapsed="false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41</v>
      </c>
      <c r="H1" s="7" t="s">
        <v>43</v>
      </c>
      <c r="I1" s="7" t="s">
        <v>41</v>
      </c>
      <c r="J1" s="7" t="s">
        <v>44</v>
      </c>
      <c r="K1" s="7" t="s">
        <v>45</v>
      </c>
      <c r="L1" s="7" t="s">
        <v>46</v>
      </c>
    </row>
    <row r="2" customFormat="false" ht="33.75" hidden="false" customHeight="true" outlineLevel="0" collapsed="false">
      <c r="A2" s="8" t="s">
        <v>47</v>
      </c>
      <c r="B2" s="9" t="s">
        <v>48</v>
      </c>
      <c r="C2" s="10" t="s">
        <v>49</v>
      </c>
      <c r="D2" s="10" t="s">
        <v>50</v>
      </c>
      <c r="E2" s="10" t="s">
        <v>51</v>
      </c>
      <c r="F2" s="10" t="s">
        <v>52</v>
      </c>
      <c r="G2" s="10" t="s">
        <v>53</v>
      </c>
      <c r="H2" s="10" t="s">
        <v>54</v>
      </c>
      <c r="I2" s="10" t="s">
        <v>55</v>
      </c>
      <c r="J2" s="10" t="s">
        <v>56</v>
      </c>
      <c r="K2" s="10" t="s">
        <v>57</v>
      </c>
      <c r="L2" s="10" t="s">
        <v>58</v>
      </c>
    </row>
    <row r="3" customFormat="false" ht="33.75" hidden="false" customHeight="true" outlineLevel="0" collapsed="false">
      <c r="A3" s="11" t="s">
        <v>59</v>
      </c>
      <c r="B3" s="12" t="s">
        <v>60</v>
      </c>
      <c r="C3" s="13" t="s">
        <v>61</v>
      </c>
      <c r="D3" s="13" t="s">
        <v>62</v>
      </c>
      <c r="E3" s="13" t="s">
        <v>63</v>
      </c>
      <c r="F3" s="13" t="s">
        <v>64</v>
      </c>
      <c r="G3" s="13" t="s">
        <v>65</v>
      </c>
      <c r="H3" s="13" t="s">
        <v>66</v>
      </c>
      <c r="I3" s="13" t="s">
        <v>67</v>
      </c>
      <c r="J3" s="13" t="s">
        <v>68</v>
      </c>
      <c r="K3" s="13" t="s">
        <v>69</v>
      </c>
      <c r="L3" s="13" t="s">
        <v>70</v>
      </c>
    </row>
    <row r="4" customFormat="false" ht="33.75" hidden="false" customHeight="true" outlineLevel="0" collapsed="false">
      <c r="A4" s="8" t="s">
        <v>71</v>
      </c>
      <c r="B4" s="9" t="s">
        <v>72</v>
      </c>
      <c r="C4" s="10" t="s">
        <v>61</v>
      </c>
      <c r="D4" s="10" t="s">
        <v>73</v>
      </c>
      <c r="E4" s="10" t="s">
        <v>74</v>
      </c>
      <c r="F4" s="10" t="s">
        <v>75</v>
      </c>
      <c r="G4" s="10" t="s">
        <v>76</v>
      </c>
      <c r="H4" s="10" t="s">
        <v>77</v>
      </c>
      <c r="I4" s="10" t="s">
        <v>78</v>
      </c>
      <c r="J4" s="10" t="s">
        <v>79</v>
      </c>
      <c r="K4" s="10" t="s">
        <v>80</v>
      </c>
      <c r="L4" s="10" t="s">
        <v>81</v>
      </c>
    </row>
    <row r="5" customFormat="false" ht="33.75" hidden="false" customHeight="true" outlineLevel="0" collapsed="false">
      <c r="A5" s="11" t="s">
        <v>82</v>
      </c>
      <c r="B5" s="12" t="s">
        <v>83</v>
      </c>
      <c r="C5" s="13" t="s">
        <v>84</v>
      </c>
      <c r="D5" s="13" t="s">
        <v>85</v>
      </c>
      <c r="E5" s="13" t="s">
        <v>86</v>
      </c>
      <c r="F5" s="13" t="s">
        <v>87</v>
      </c>
      <c r="G5" s="13" t="s">
        <v>88</v>
      </c>
      <c r="H5" s="13" t="s">
        <v>89</v>
      </c>
      <c r="I5" s="13" t="s">
        <v>90</v>
      </c>
      <c r="J5" s="13" t="s">
        <v>91</v>
      </c>
      <c r="K5" s="13" t="s">
        <v>92</v>
      </c>
      <c r="L5" s="13" t="s">
        <v>93</v>
      </c>
    </row>
    <row r="6" customFormat="false" ht="33.75" hidden="false" customHeight="true" outlineLevel="0" collapsed="false">
      <c r="A6" s="8" t="s">
        <v>94</v>
      </c>
      <c r="B6" s="9" t="s">
        <v>95</v>
      </c>
      <c r="C6" s="10" t="s">
        <v>96</v>
      </c>
      <c r="D6" s="10" t="s">
        <v>97</v>
      </c>
      <c r="E6" s="10" t="s">
        <v>98</v>
      </c>
      <c r="F6" s="10" t="s">
        <v>99</v>
      </c>
      <c r="G6" s="10" t="s">
        <v>100</v>
      </c>
      <c r="H6" s="10" t="s">
        <v>101</v>
      </c>
      <c r="I6" s="10" t="s">
        <v>102</v>
      </c>
      <c r="J6" s="10" t="s">
        <v>103</v>
      </c>
      <c r="K6" s="10" t="s">
        <v>104</v>
      </c>
      <c r="L6" s="10" t="s">
        <v>105</v>
      </c>
    </row>
    <row r="7" customFormat="false" ht="33.75" hidden="false" customHeight="true" outlineLevel="0" collapsed="false">
      <c r="A7" s="11" t="s">
        <v>106</v>
      </c>
      <c r="B7" s="12" t="s">
        <v>107</v>
      </c>
      <c r="C7" s="13" t="s">
        <v>108</v>
      </c>
      <c r="D7" s="13" t="s">
        <v>109</v>
      </c>
      <c r="E7" s="13" t="s">
        <v>110</v>
      </c>
      <c r="F7" s="13" t="s">
        <v>111</v>
      </c>
      <c r="G7" s="13" t="s">
        <v>112</v>
      </c>
      <c r="H7" s="13" t="s">
        <v>113</v>
      </c>
      <c r="I7" s="13" t="s">
        <v>114</v>
      </c>
      <c r="J7" s="13" t="s">
        <v>115</v>
      </c>
      <c r="K7" s="13" t="s">
        <v>116</v>
      </c>
      <c r="L7" s="13" t="s">
        <v>117</v>
      </c>
    </row>
    <row r="8" customFormat="false" ht="33.75" hidden="false" customHeight="true" outlineLevel="0" collapsed="false">
      <c r="A8" s="8" t="s">
        <v>118</v>
      </c>
      <c r="B8" s="9" t="s">
        <v>119</v>
      </c>
      <c r="C8" s="10" t="s">
        <v>120</v>
      </c>
      <c r="D8" s="10" t="s">
        <v>121</v>
      </c>
      <c r="E8" s="10" t="s">
        <v>122</v>
      </c>
      <c r="F8" s="10" t="s">
        <v>123</v>
      </c>
      <c r="G8" s="10" t="s">
        <v>55</v>
      </c>
      <c r="H8" s="10" t="s">
        <v>124</v>
      </c>
      <c r="I8" s="10" t="s">
        <v>125</v>
      </c>
      <c r="J8" s="10" t="s">
        <v>126</v>
      </c>
      <c r="K8" s="10" t="s">
        <v>127</v>
      </c>
      <c r="L8" s="10" t="s">
        <v>105</v>
      </c>
    </row>
    <row r="9" customFormat="false" ht="33.75" hidden="false" customHeight="true" outlineLevel="0" collapsed="false">
      <c r="A9" s="11" t="s">
        <v>128</v>
      </c>
      <c r="B9" s="12" t="s">
        <v>129</v>
      </c>
      <c r="C9" s="13" t="s">
        <v>130</v>
      </c>
      <c r="D9" s="13" t="s">
        <v>131</v>
      </c>
      <c r="E9" s="13" t="s">
        <v>132</v>
      </c>
      <c r="F9" s="13" t="s">
        <v>133</v>
      </c>
      <c r="G9" s="13" t="s">
        <v>134</v>
      </c>
      <c r="H9" s="13" t="s">
        <v>135</v>
      </c>
      <c r="I9" s="13" t="s">
        <v>136</v>
      </c>
      <c r="J9" s="13" t="s">
        <v>137</v>
      </c>
      <c r="K9" s="13" t="s">
        <v>138</v>
      </c>
      <c r="L9" s="13" t="s">
        <v>139</v>
      </c>
    </row>
    <row r="10" customFormat="false" ht="26.85" hidden="false" customHeight="false" outlineLevel="0" collapsed="false">
      <c r="A10" s="14" t="s">
        <v>140</v>
      </c>
      <c r="B10" s="15"/>
      <c r="C10" s="15"/>
      <c r="D10" s="15"/>
      <c r="E10" s="15"/>
      <c r="F10" s="15"/>
      <c r="G10" s="15"/>
      <c r="H10" s="15"/>
      <c r="I10" s="15"/>
      <c r="J10" s="16" t="s">
        <v>141</v>
      </c>
      <c r="K10" s="15"/>
      <c r="L10" s="16" t="s">
        <v>142</v>
      </c>
    </row>
    <row r="12" customFormat="false" ht="15" hidden="false" customHeight="true" outlineLevel="0" collapsed="false">
      <c r="A12" s="17" t="s">
        <v>143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</sheetData>
  <mergeCells count="1">
    <mergeCell ref="A12:L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7" min="6" style="0" width="11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12"/>
  </cols>
  <sheetData>
    <row r="1" customFormat="false" ht="33.75" hidden="false" customHeight="true" outlineLevel="0" collapsed="false">
      <c r="A1" s="7" t="s">
        <v>144</v>
      </c>
      <c r="B1" s="7" t="s">
        <v>145</v>
      </c>
      <c r="C1" s="7" t="s">
        <v>146</v>
      </c>
      <c r="D1" s="7" t="s">
        <v>147</v>
      </c>
      <c r="E1" s="7" t="s">
        <v>71</v>
      </c>
      <c r="F1" s="7" t="s">
        <v>148</v>
      </c>
      <c r="G1" s="7" t="s">
        <v>106</v>
      </c>
      <c r="H1" s="7" t="s">
        <v>149</v>
      </c>
      <c r="I1" s="7" t="s">
        <v>150</v>
      </c>
      <c r="J1" s="7" t="s">
        <v>151</v>
      </c>
      <c r="K1" s="7" t="s">
        <v>152</v>
      </c>
    </row>
    <row r="2" customFormat="false" ht="37.5" hidden="false" customHeight="true" outlineLevel="0" collapsed="false">
      <c r="A2" s="18" t="s">
        <v>153</v>
      </c>
      <c r="B2" s="19" t="s">
        <v>154</v>
      </c>
      <c r="C2" s="20" t="s">
        <v>155</v>
      </c>
      <c r="D2" s="21" t="s">
        <v>156</v>
      </c>
      <c r="E2" s="21" t="s">
        <v>156</v>
      </c>
      <c r="F2" s="20" t="s">
        <v>155</v>
      </c>
      <c r="G2" s="21" t="s">
        <v>156</v>
      </c>
      <c r="H2" s="22" t="s">
        <v>157</v>
      </c>
      <c r="I2" s="21" t="s">
        <v>156</v>
      </c>
      <c r="J2" s="20" t="s">
        <v>155</v>
      </c>
      <c r="K2" s="20" t="s">
        <v>155</v>
      </c>
    </row>
    <row r="3" customFormat="false" ht="37.5" hidden="false" customHeight="true" outlineLevel="0" collapsed="false">
      <c r="A3" s="18" t="s">
        <v>158</v>
      </c>
      <c r="B3" s="19" t="s">
        <v>159</v>
      </c>
      <c r="C3" s="21" t="s">
        <v>156</v>
      </c>
      <c r="D3" s="20" t="s">
        <v>155</v>
      </c>
      <c r="E3" s="20" t="s">
        <v>155</v>
      </c>
      <c r="F3" s="22" t="s">
        <v>157</v>
      </c>
      <c r="G3" s="21" t="s">
        <v>156</v>
      </c>
      <c r="H3" s="20" t="s">
        <v>155</v>
      </c>
      <c r="I3" s="22" t="s">
        <v>157</v>
      </c>
      <c r="J3" s="21" t="s">
        <v>156</v>
      </c>
      <c r="K3" s="21" t="s">
        <v>156</v>
      </c>
    </row>
    <row r="4" customFormat="false" ht="37.5" hidden="false" customHeight="true" outlineLevel="0" collapsed="false">
      <c r="A4" s="18" t="s">
        <v>160</v>
      </c>
      <c r="B4" s="19" t="s">
        <v>161</v>
      </c>
      <c r="C4" s="22" t="s">
        <v>157</v>
      </c>
      <c r="D4" s="20" t="s">
        <v>155</v>
      </c>
      <c r="E4" s="20" t="s">
        <v>155</v>
      </c>
      <c r="F4" s="23" t="s">
        <v>162</v>
      </c>
      <c r="G4" s="22" t="s">
        <v>157</v>
      </c>
      <c r="H4" s="23" t="s">
        <v>162</v>
      </c>
      <c r="I4" s="20" t="s">
        <v>155</v>
      </c>
      <c r="J4" s="21" t="s">
        <v>156</v>
      </c>
      <c r="K4" s="22" t="s">
        <v>157</v>
      </c>
    </row>
    <row r="5" customFormat="false" ht="37.5" hidden="false" customHeight="true" outlineLevel="0" collapsed="false">
      <c r="A5" s="18" t="s">
        <v>163</v>
      </c>
      <c r="B5" s="19" t="s">
        <v>164</v>
      </c>
      <c r="C5" s="22" t="s">
        <v>157</v>
      </c>
      <c r="D5" s="23" t="s">
        <v>162</v>
      </c>
      <c r="E5" s="23" t="s">
        <v>162</v>
      </c>
      <c r="F5" s="22" t="s">
        <v>157</v>
      </c>
      <c r="G5" s="20" t="s">
        <v>155</v>
      </c>
      <c r="H5" s="20" t="s">
        <v>155</v>
      </c>
      <c r="I5" s="23" t="s">
        <v>162</v>
      </c>
      <c r="J5" s="20" t="s">
        <v>155</v>
      </c>
      <c r="K5" s="20" t="s">
        <v>155</v>
      </c>
    </row>
    <row r="6" customFormat="false" ht="37.5" hidden="false" customHeight="true" outlineLevel="0" collapsed="false">
      <c r="A6" s="18" t="s">
        <v>165</v>
      </c>
      <c r="B6" s="19" t="s">
        <v>166</v>
      </c>
      <c r="C6" s="21" t="s">
        <v>156</v>
      </c>
      <c r="D6" s="21" t="s">
        <v>156</v>
      </c>
      <c r="E6" s="21" t="s">
        <v>156</v>
      </c>
      <c r="F6" s="20" t="s">
        <v>155</v>
      </c>
      <c r="G6" s="21" t="s">
        <v>156</v>
      </c>
      <c r="H6" s="22" t="s">
        <v>157</v>
      </c>
      <c r="I6" s="20" t="s">
        <v>155</v>
      </c>
      <c r="J6" s="21" t="s">
        <v>156</v>
      </c>
      <c r="K6" s="20" t="s">
        <v>155</v>
      </c>
    </row>
    <row r="7" customFormat="false" ht="37.5" hidden="false" customHeight="true" outlineLevel="0" collapsed="false">
      <c r="A7" s="18" t="s">
        <v>167</v>
      </c>
      <c r="B7" s="19" t="s">
        <v>168</v>
      </c>
      <c r="C7" s="22" t="s">
        <v>157</v>
      </c>
      <c r="D7" s="22" t="s">
        <v>157</v>
      </c>
      <c r="E7" s="22" t="s">
        <v>157</v>
      </c>
      <c r="F7" s="20" t="s">
        <v>155</v>
      </c>
      <c r="G7" s="20" t="s">
        <v>155</v>
      </c>
      <c r="H7" s="21" t="s">
        <v>156</v>
      </c>
      <c r="I7" s="22" t="s">
        <v>157</v>
      </c>
      <c r="J7" s="21" t="s">
        <v>156</v>
      </c>
      <c r="K7" s="21" t="s">
        <v>156</v>
      </c>
    </row>
    <row r="8" customFormat="false" ht="37.5" hidden="false" customHeight="true" outlineLevel="0" collapsed="false">
      <c r="A8" s="18" t="s">
        <v>169</v>
      </c>
      <c r="B8" s="19" t="s">
        <v>170</v>
      </c>
      <c r="C8" s="21" t="s">
        <v>156</v>
      </c>
      <c r="D8" s="20" t="s">
        <v>155</v>
      </c>
      <c r="E8" s="20" t="s">
        <v>155</v>
      </c>
      <c r="F8" s="22" t="s">
        <v>157</v>
      </c>
      <c r="G8" s="21" t="s">
        <v>156</v>
      </c>
      <c r="H8" s="21" t="s">
        <v>156</v>
      </c>
      <c r="I8" s="21" t="s">
        <v>156</v>
      </c>
      <c r="J8" s="21" t="s">
        <v>156</v>
      </c>
      <c r="K8" s="22" t="s">
        <v>157</v>
      </c>
    </row>
    <row r="10" customFormat="false" ht="22.35" hidden="false" customHeight="true" outlineLevel="0" collapsed="false">
      <c r="A10" s="17" t="s">
        <v>171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</row>
  </sheetData>
  <mergeCells count="1">
    <mergeCell ref="A10:K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2" min="1" style="0" width="14"/>
  </cols>
  <sheetData>
    <row r="1" customFormat="false" ht="33.75" hidden="false" customHeight="true" outlineLevel="0" collapsed="false">
      <c r="A1" s="7" t="s">
        <v>172</v>
      </c>
      <c r="B1" s="7" t="s">
        <v>146</v>
      </c>
      <c r="C1" s="7" t="s">
        <v>147</v>
      </c>
      <c r="D1" s="7" t="s">
        <v>173</v>
      </c>
      <c r="E1" s="7" t="s">
        <v>71</v>
      </c>
      <c r="F1" s="7" t="s">
        <v>148</v>
      </c>
      <c r="G1" s="7" t="s">
        <v>106</v>
      </c>
      <c r="H1" s="7" t="s">
        <v>149</v>
      </c>
      <c r="I1" s="7" t="s">
        <v>174</v>
      </c>
      <c r="J1" s="7" t="s">
        <v>175</v>
      </c>
      <c r="K1" s="7" t="s">
        <v>176</v>
      </c>
      <c r="L1" s="7" t="s">
        <v>177</v>
      </c>
    </row>
    <row r="2" customFormat="false" ht="21.75" hidden="false" customHeight="true" outlineLevel="0" collapsed="false">
      <c r="A2" s="18" t="s">
        <v>178</v>
      </c>
      <c r="B2" s="8" t="n">
        <v>1</v>
      </c>
      <c r="C2" s="8" t="n">
        <v>1</v>
      </c>
      <c r="D2" s="13" t="n">
        <v>0</v>
      </c>
      <c r="E2" s="8" t="n">
        <v>1</v>
      </c>
      <c r="F2" s="8" t="n">
        <v>1</v>
      </c>
      <c r="G2" s="8" t="n">
        <v>1</v>
      </c>
      <c r="H2" s="8" t="n">
        <v>1</v>
      </c>
      <c r="I2" s="13" t="n">
        <v>0</v>
      </c>
      <c r="J2" s="13" t="n">
        <v>0</v>
      </c>
      <c r="K2" s="8" t="n">
        <v>1</v>
      </c>
      <c r="L2" s="24" t="n">
        <f aca="false">SUM(B2:K2)</f>
        <v>7</v>
      </c>
    </row>
    <row r="3" customFormat="false" ht="21.75" hidden="false" customHeight="true" outlineLevel="0" collapsed="false">
      <c r="A3" s="18" t="s">
        <v>179</v>
      </c>
      <c r="B3" s="13" t="n">
        <v>0</v>
      </c>
      <c r="C3" s="8" t="n">
        <v>2</v>
      </c>
      <c r="D3" s="8" t="n">
        <v>1</v>
      </c>
      <c r="E3" s="13" t="n">
        <v>0</v>
      </c>
      <c r="F3" s="13" t="n">
        <v>0</v>
      </c>
      <c r="G3" s="13" t="n">
        <v>0</v>
      </c>
      <c r="H3" s="8" t="n">
        <v>1</v>
      </c>
      <c r="I3" s="8" t="n">
        <v>1</v>
      </c>
      <c r="J3" s="8" t="n">
        <v>1</v>
      </c>
      <c r="K3" s="13" t="n">
        <v>0</v>
      </c>
      <c r="L3" s="24" t="n">
        <f aca="false">SUM(B3:K3)</f>
        <v>6</v>
      </c>
    </row>
    <row r="4" customFormat="false" ht="21.75" hidden="false" customHeight="true" outlineLevel="0" collapsed="false">
      <c r="A4" s="18" t="s">
        <v>180</v>
      </c>
      <c r="B4" s="8" t="n">
        <v>1</v>
      </c>
      <c r="C4" s="8" t="n">
        <v>1</v>
      </c>
      <c r="D4" s="13" t="n">
        <v>0</v>
      </c>
      <c r="E4" s="8" t="n">
        <v>1</v>
      </c>
      <c r="F4" s="8" t="n">
        <v>1</v>
      </c>
      <c r="G4" s="13" t="n">
        <v>0</v>
      </c>
      <c r="H4" s="13" t="n">
        <v>0</v>
      </c>
      <c r="I4" s="13" t="n">
        <v>0</v>
      </c>
      <c r="J4" s="13" t="n">
        <v>0</v>
      </c>
      <c r="K4" s="13" t="n">
        <v>0</v>
      </c>
      <c r="L4" s="24" t="n">
        <f aca="false">SUM(B4:K4)</f>
        <v>4</v>
      </c>
    </row>
    <row r="5" customFormat="false" ht="21.75" hidden="false" customHeight="true" outlineLevel="0" collapsed="false">
      <c r="A5" s="18" t="s">
        <v>181</v>
      </c>
      <c r="B5" s="13" t="n">
        <v>0</v>
      </c>
      <c r="C5" s="8" t="n">
        <v>1</v>
      </c>
      <c r="D5" s="8" t="n">
        <v>1</v>
      </c>
      <c r="E5" s="8" t="n">
        <v>1</v>
      </c>
      <c r="F5" s="13" t="n">
        <v>0</v>
      </c>
      <c r="G5" s="8" t="n">
        <v>1</v>
      </c>
      <c r="H5" s="8" t="n">
        <v>1</v>
      </c>
      <c r="I5" s="8" t="n">
        <v>1</v>
      </c>
      <c r="J5" s="8" t="n">
        <v>1</v>
      </c>
      <c r="K5" s="13" t="n">
        <v>0</v>
      </c>
      <c r="L5" s="24" t="n">
        <f aca="false">SUM(B5:K5)</f>
        <v>7</v>
      </c>
    </row>
    <row r="6" customFormat="false" ht="21.75" hidden="false" customHeight="true" outlineLevel="0" collapsed="false">
      <c r="A6" s="18" t="s">
        <v>182</v>
      </c>
      <c r="B6" s="8" t="n">
        <v>1</v>
      </c>
      <c r="C6" s="8" t="n">
        <v>2</v>
      </c>
      <c r="D6" s="13" t="n">
        <v>0</v>
      </c>
      <c r="E6" s="13" t="n">
        <v>0</v>
      </c>
      <c r="F6" s="8" t="n">
        <v>1</v>
      </c>
      <c r="G6" s="13" t="n">
        <v>0</v>
      </c>
      <c r="H6" s="13" t="n">
        <v>0</v>
      </c>
      <c r="I6" s="13" t="n">
        <v>0</v>
      </c>
      <c r="J6" s="13" t="n">
        <v>0</v>
      </c>
      <c r="K6" s="8" t="n">
        <v>1</v>
      </c>
      <c r="L6" s="24" t="n">
        <f aca="false">SUM(B6:K6)</f>
        <v>5</v>
      </c>
    </row>
    <row r="7" customFormat="false" ht="21.75" hidden="false" customHeight="true" outlineLevel="0" collapsed="false">
      <c r="A7" s="18" t="s">
        <v>183</v>
      </c>
      <c r="B7" s="13" t="n">
        <v>0</v>
      </c>
      <c r="C7" s="8" t="n">
        <v>1</v>
      </c>
      <c r="D7" s="8" t="n">
        <v>1</v>
      </c>
      <c r="E7" s="8" t="n">
        <v>1</v>
      </c>
      <c r="F7" s="13" t="n">
        <v>0</v>
      </c>
      <c r="G7" s="13" t="n">
        <v>0</v>
      </c>
      <c r="H7" s="13" t="n">
        <v>0</v>
      </c>
      <c r="I7" s="13" t="n">
        <v>0</v>
      </c>
      <c r="J7" s="13" t="n">
        <v>0</v>
      </c>
      <c r="K7" s="13" t="n">
        <v>0</v>
      </c>
      <c r="L7" s="24" t="n">
        <f aca="false">SUM(B7:K7)</f>
        <v>3</v>
      </c>
    </row>
    <row r="8" customFormat="false" ht="21.75" hidden="false" customHeight="true" outlineLevel="0" collapsed="false">
      <c r="A8" s="18" t="s">
        <v>184</v>
      </c>
      <c r="B8" s="13" t="n">
        <v>0</v>
      </c>
      <c r="C8" s="8" t="n">
        <v>1</v>
      </c>
      <c r="D8" s="13" t="n">
        <v>0</v>
      </c>
      <c r="E8" s="13" t="n">
        <v>0</v>
      </c>
      <c r="F8" s="8" t="n">
        <v>1</v>
      </c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24" t="n">
        <f aca="false">SUM(B8:K8)</f>
        <v>2</v>
      </c>
    </row>
    <row r="9" customFormat="false" ht="15" hidden="false" customHeight="false" outlineLevel="0" collapsed="false">
      <c r="A9" s="14" t="s">
        <v>185</v>
      </c>
      <c r="B9" s="25" t="n">
        <f aca="false">SUM(B2:B8)</f>
        <v>3</v>
      </c>
      <c r="C9" s="25" t="n">
        <f aca="false">SUM(C2:C8)</f>
        <v>9</v>
      </c>
      <c r="D9" s="25" t="n">
        <f aca="false">SUM(D2:D8)</f>
        <v>3</v>
      </c>
      <c r="E9" s="25" t="n">
        <f aca="false">SUM(E2:E8)</f>
        <v>4</v>
      </c>
      <c r="F9" s="25" t="n">
        <f aca="false">SUM(F2:F8)</f>
        <v>4</v>
      </c>
      <c r="G9" s="25" t="n">
        <f aca="false">SUM(G2:G8)</f>
        <v>2</v>
      </c>
      <c r="H9" s="25" t="n">
        <f aca="false">SUM(H2:H8)</f>
        <v>3</v>
      </c>
      <c r="I9" s="25" t="n">
        <f aca="false">SUM(I2:I8)</f>
        <v>2</v>
      </c>
      <c r="J9" s="25" t="n">
        <f aca="false">SUM(J2:J8)</f>
        <v>2</v>
      </c>
      <c r="K9" s="25" t="n">
        <f aca="false">SUM(K2:K8)</f>
        <v>2</v>
      </c>
      <c r="L9" s="25" t="n">
        <f aca="false">SUM(L2:L8)</f>
        <v>34</v>
      </c>
    </row>
    <row r="11" customFormat="false" ht="22.35" hidden="false" customHeight="true" outlineLevel="0" collapsed="false">
      <c r="A11" s="17" t="s">
        <v>186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</sheetData>
  <mergeCells count="1">
    <mergeCell ref="A11:L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36"/>
    <col collapsed="false" customWidth="true" hidden="false" outlineLevel="0" max="5" min="5" style="0" width="38"/>
  </cols>
  <sheetData>
    <row r="1" customFormat="false" ht="33.75" hidden="false" customHeight="true" outlineLevel="0" collapsed="false">
      <c r="A1" s="7" t="s">
        <v>187</v>
      </c>
      <c r="B1" s="7" t="s">
        <v>188</v>
      </c>
      <c r="C1" s="7" t="s">
        <v>189</v>
      </c>
      <c r="D1" s="7" t="s">
        <v>190</v>
      </c>
      <c r="E1" s="7" t="s">
        <v>191</v>
      </c>
    </row>
    <row r="2" customFormat="false" ht="33.75" hidden="false" customHeight="true" outlineLevel="0" collapsed="false">
      <c r="A2" s="26" t="s">
        <v>192</v>
      </c>
      <c r="B2" s="27" t="n">
        <v>0.3</v>
      </c>
      <c r="C2" s="19" t="s">
        <v>193</v>
      </c>
      <c r="D2" s="12" t="s">
        <v>194</v>
      </c>
      <c r="E2" s="12" t="s">
        <v>195</v>
      </c>
    </row>
    <row r="3" customFormat="false" ht="33.75" hidden="false" customHeight="true" outlineLevel="0" collapsed="false">
      <c r="A3" s="26" t="s">
        <v>196</v>
      </c>
      <c r="B3" s="27" t="n">
        <v>0.25</v>
      </c>
      <c r="C3" s="19" t="s">
        <v>197</v>
      </c>
      <c r="D3" s="12" t="s">
        <v>198</v>
      </c>
      <c r="E3" s="12" t="s">
        <v>199</v>
      </c>
    </row>
    <row r="4" customFormat="false" ht="33.75" hidden="false" customHeight="true" outlineLevel="0" collapsed="false">
      <c r="A4" s="26" t="s">
        <v>200</v>
      </c>
      <c r="B4" s="27" t="n">
        <v>0.15</v>
      </c>
      <c r="C4" s="19" t="s">
        <v>201</v>
      </c>
      <c r="D4" s="12" t="s">
        <v>202</v>
      </c>
      <c r="E4" s="12" t="s">
        <v>203</v>
      </c>
    </row>
    <row r="5" customFormat="false" ht="33.75" hidden="false" customHeight="true" outlineLevel="0" collapsed="false">
      <c r="A5" s="26" t="s">
        <v>204</v>
      </c>
      <c r="B5" s="27" t="n">
        <v>0.1</v>
      </c>
      <c r="C5" s="19" t="s">
        <v>201</v>
      </c>
      <c r="D5" s="12" t="s">
        <v>205</v>
      </c>
      <c r="E5" s="12" t="s">
        <v>206</v>
      </c>
    </row>
    <row r="6" customFormat="false" ht="33.75" hidden="false" customHeight="true" outlineLevel="0" collapsed="false">
      <c r="A6" s="26" t="s">
        <v>207</v>
      </c>
      <c r="B6" s="27" t="n">
        <v>0.1</v>
      </c>
      <c r="C6" s="19" t="s">
        <v>208</v>
      </c>
      <c r="D6" s="12" t="s">
        <v>209</v>
      </c>
      <c r="E6" s="12" t="s">
        <v>210</v>
      </c>
    </row>
    <row r="7" customFormat="false" ht="33.75" hidden="false" customHeight="true" outlineLevel="0" collapsed="false">
      <c r="A7" s="26" t="s">
        <v>211</v>
      </c>
      <c r="B7" s="27" t="n">
        <v>0.05</v>
      </c>
      <c r="C7" s="19" t="s">
        <v>212</v>
      </c>
      <c r="D7" s="12" t="s">
        <v>213</v>
      </c>
      <c r="E7" s="12" t="s">
        <v>214</v>
      </c>
    </row>
    <row r="8" customFormat="false" ht="33.75" hidden="false" customHeight="true" outlineLevel="0" collapsed="false">
      <c r="A8" s="26" t="s">
        <v>215</v>
      </c>
      <c r="B8" s="27" t="n">
        <v>0.05</v>
      </c>
      <c r="C8" s="19" t="s">
        <v>216</v>
      </c>
      <c r="D8" s="12" t="s">
        <v>217</v>
      </c>
      <c r="E8" s="12" t="s">
        <v>218</v>
      </c>
    </row>
    <row r="9" customFormat="false" ht="15" hidden="false" customHeight="false" outlineLevel="0" collapsed="false">
      <c r="A9" s="14" t="s">
        <v>219</v>
      </c>
      <c r="B9" s="28" t="n">
        <f aca="false">SUM(B2:B8)</f>
        <v>1</v>
      </c>
      <c r="C9" s="15"/>
      <c r="D9" s="15"/>
      <c r="E9" s="15"/>
    </row>
    <row r="11" customFormat="false" ht="15" hidden="false" customHeight="true" outlineLevel="0" collapsed="false">
      <c r="A11" s="29" t="s">
        <v>220</v>
      </c>
      <c r="B11" s="29"/>
      <c r="C11" s="29"/>
      <c r="D11" s="29"/>
      <c r="E11" s="29"/>
    </row>
    <row r="12" customFormat="false" ht="15" hidden="false" customHeight="false" outlineLevel="0" collapsed="false">
      <c r="A12" s="29"/>
      <c r="B12" s="29"/>
      <c r="C12" s="29"/>
      <c r="D12" s="29"/>
      <c r="E12" s="29"/>
    </row>
    <row r="13" customFormat="false" ht="15" hidden="false" customHeight="false" outlineLevel="0" collapsed="false">
      <c r="A13" s="29"/>
      <c r="B13" s="29"/>
      <c r="C13" s="29"/>
      <c r="D13" s="29"/>
      <c r="E13" s="29"/>
    </row>
    <row r="14" customFormat="false" ht="15" hidden="false" customHeight="false" outlineLevel="0" collapsed="false">
      <c r="A14" s="29"/>
      <c r="B14" s="29"/>
      <c r="C14" s="29"/>
      <c r="D14" s="29"/>
      <c r="E14" s="29"/>
    </row>
  </sheetData>
  <mergeCells count="1">
    <mergeCell ref="A11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4" min="3" style="0" width="20"/>
    <col collapsed="false" customWidth="true" hidden="false" outlineLevel="0" max="5" min="5" style="0" width="18"/>
    <col collapsed="false" customWidth="true" hidden="false" outlineLevel="0" max="6" min="6" style="0" width="40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14"/>
  </cols>
  <sheetData>
    <row r="1" customFormat="false" ht="36" hidden="false" customHeight="true" outlineLevel="0" collapsed="false">
      <c r="A1" s="7" t="s">
        <v>221</v>
      </c>
      <c r="B1" s="7" t="s">
        <v>222</v>
      </c>
      <c r="C1" s="7" t="s">
        <v>223</v>
      </c>
      <c r="D1" s="7" t="s">
        <v>224</v>
      </c>
      <c r="E1" s="7" t="s">
        <v>225</v>
      </c>
      <c r="F1" s="7" t="s">
        <v>226</v>
      </c>
      <c r="G1" s="7" t="s">
        <v>227</v>
      </c>
      <c r="H1" s="7" t="s">
        <v>228</v>
      </c>
      <c r="I1" s="7" t="s">
        <v>229</v>
      </c>
    </row>
    <row r="2" customFormat="false" ht="45.75" hidden="false" customHeight="true" outlineLevel="0" collapsed="false">
      <c r="A2" s="30" t="s">
        <v>230</v>
      </c>
      <c r="B2" s="10" t="s">
        <v>231</v>
      </c>
      <c r="C2" s="10" t="s">
        <v>232</v>
      </c>
      <c r="D2" s="10" t="s">
        <v>233</v>
      </c>
      <c r="E2" s="10" t="s">
        <v>234</v>
      </c>
      <c r="F2" s="9" t="s">
        <v>235</v>
      </c>
      <c r="G2" s="10" t="s">
        <v>236</v>
      </c>
      <c r="H2" s="10" t="s">
        <v>237</v>
      </c>
      <c r="I2" s="10" t="s">
        <v>238</v>
      </c>
    </row>
    <row r="3" customFormat="false" ht="45.75" hidden="false" customHeight="true" outlineLevel="0" collapsed="false">
      <c r="A3" s="31" t="s">
        <v>239</v>
      </c>
      <c r="B3" s="13" t="s">
        <v>231</v>
      </c>
      <c r="C3" s="13" t="s">
        <v>240</v>
      </c>
      <c r="D3" s="13" t="s">
        <v>241</v>
      </c>
      <c r="E3" s="13" t="s">
        <v>242</v>
      </c>
      <c r="F3" s="12" t="s">
        <v>243</v>
      </c>
      <c r="G3" s="13" t="s">
        <v>244</v>
      </c>
      <c r="H3" s="13" t="s">
        <v>245</v>
      </c>
      <c r="I3" s="13" t="s">
        <v>238</v>
      </c>
    </row>
    <row r="4" customFormat="false" ht="45.75" hidden="false" customHeight="true" outlineLevel="0" collapsed="false">
      <c r="A4" s="30" t="s">
        <v>246</v>
      </c>
      <c r="B4" s="10" t="s">
        <v>231</v>
      </c>
      <c r="C4" s="10" t="s">
        <v>247</v>
      </c>
      <c r="D4" s="10" t="s">
        <v>248</v>
      </c>
      <c r="E4" s="10" t="s">
        <v>249</v>
      </c>
      <c r="F4" s="9" t="s">
        <v>250</v>
      </c>
      <c r="G4" s="10" t="s">
        <v>251</v>
      </c>
      <c r="H4" s="10" t="s">
        <v>252</v>
      </c>
      <c r="I4" s="10" t="s">
        <v>238</v>
      </c>
    </row>
    <row r="5" customFormat="false" ht="45.75" hidden="false" customHeight="true" outlineLevel="0" collapsed="false">
      <c r="A5" s="31" t="s">
        <v>253</v>
      </c>
      <c r="B5" s="13" t="s">
        <v>254</v>
      </c>
      <c r="C5" s="13" t="s">
        <v>255</v>
      </c>
      <c r="D5" s="13" t="s">
        <v>256</v>
      </c>
      <c r="E5" s="13" t="s">
        <v>257</v>
      </c>
      <c r="F5" s="12" t="s">
        <v>258</v>
      </c>
      <c r="G5" s="13" t="s">
        <v>259</v>
      </c>
      <c r="H5" s="13" t="s">
        <v>260</v>
      </c>
      <c r="I5" s="13" t="s">
        <v>261</v>
      </c>
    </row>
    <row r="6" customFormat="false" ht="45.75" hidden="false" customHeight="true" outlineLevel="0" collapsed="false">
      <c r="A6" s="30" t="s">
        <v>262</v>
      </c>
      <c r="B6" s="10" t="s">
        <v>263</v>
      </c>
      <c r="C6" s="10" t="s">
        <v>264</v>
      </c>
      <c r="D6" s="10" t="s">
        <v>265</v>
      </c>
      <c r="E6" s="10" t="s">
        <v>257</v>
      </c>
      <c r="F6" s="9" t="s">
        <v>266</v>
      </c>
      <c r="G6" s="10" t="s">
        <v>267</v>
      </c>
      <c r="H6" s="10" t="s">
        <v>268</v>
      </c>
      <c r="I6" s="10" t="s">
        <v>269</v>
      </c>
    </row>
    <row r="7" customFormat="false" ht="45.75" hidden="false" customHeight="true" outlineLevel="0" collapsed="false">
      <c r="A7" s="31" t="s">
        <v>270</v>
      </c>
      <c r="B7" s="13" t="s">
        <v>271</v>
      </c>
      <c r="C7" s="13" t="s">
        <v>272</v>
      </c>
      <c r="D7" s="13" t="s">
        <v>273</v>
      </c>
      <c r="E7" s="13" t="s">
        <v>257</v>
      </c>
      <c r="F7" s="12" t="s">
        <v>274</v>
      </c>
      <c r="G7" s="13" t="s">
        <v>275</v>
      </c>
      <c r="H7" s="13" t="s">
        <v>276</v>
      </c>
      <c r="I7" s="13" t="s">
        <v>269</v>
      </c>
    </row>
    <row r="8" customFormat="false" ht="15" hidden="false" customHeight="false" outlineLevel="0" collapsed="false">
      <c r="A8" s="14" t="s">
        <v>277</v>
      </c>
      <c r="B8" s="15"/>
      <c r="C8" s="15"/>
      <c r="D8" s="15"/>
      <c r="E8" s="15"/>
      <c r="F8" s="15"/>
      <c r="G8" s="16" t="s">
        <v>278</v>
      </c>
      <c r="H8" s="15"/>
      <c r="I8" s="15"/>
    </row>
    <row r="10" customFormat="false" ht="15" hidden="false" customHeight="true" outlineLevel="0" collapsed="false">
      <c r="A10" s="29" t="s">
        <v>279</v>
      </c>
      <c r="B10" s="29"/>
      <c r="C10" s="29"/>
      <c r="D10" s="29"/>
      <c r="E10" s="29"/>
      <c r="F10" s="29"/>
      <c r="G10" s="29"/>
      <c r="H10" s="29"/>
      <c r="I10" s="29"/>
    </row>
    <row r="11" customFormat="false" ht="15" hidden="false" customHeight="false" outlineLevel="0" collapsed="false">
      <c r="A11" s="29"/>
      <c r="B11" s="29"/>
      <c r="C11" s="29"/>
      <c r="D11" s="29"/>
      <c r="E11" s="29"/>
      <c r="F11" s="29"/>
      <c r="G11" s="29"/>
      <c r="H11" s="29"/>
      <c r="I11" s="29"/>
    </row>
    <row r="12" customFormat="false" ht="15" hidden="false" customHeight="false" outlineLevel="0" collapsed="false">
      <c r="A12" s="29"/>
      <c r="B12" s="29"/>
      <c r="C12" s="29"/>
      <c r="D12" s="29"/>
      <c r="E12" s="29"/>
      <c r="F12" s="29"/>
      <c r="G12" s="29"/>
      <c r="H12" s="29"/>
      <c r="I12" s="29"/>
    </row>
    <row r="13" customFormat="false" ht="15" hidden="false" customHeight="false" outlineLevel="0" collapsed="false">
      <c r="A13" s="29"/>
      <c r="B13" s="29"/>
      <c r="C13" s="29"/>
      <c r="D13" s="29"/>
      <c r="E13" s="29"/>
      <c r="F13" s="29"/>
      <c r="G13" s="29"/>
      <c r="H13" s="29"/>
      <c r="I13" s="29"/>
    </row>
  </sheetData>
  <mergeCells count="1">
    <mergeCell ref="A10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38"/>
  </cols>
  <sheetData>
    <row r="1" customFormat="false" ht="33.75" hidden="false" customHeight="true" outlineLevel="0" collapsed="false">
      <c r="A1" s="7" t="s">
        <v>280</v>
      </c>
      <c r="B1" s="7" t="s">
        <v>281</v>
      </c>
      <c r="C1" s="7" t="s">
        <v>282</v>
      </c>
      <c r="D1" s="7" t="s">
        <v>283</v>
      </c>
      <c r="E1" s="7" t="s">
        <v>284</v>
      </c>
      <c r="F1" s="7" t="s">
        <v>285</v>
      </c>
    </row>
    <row r="2" customFormat="false" ht="25.5" hidden="false" customHeight="true" outlineLevel="0" collapsed="false">
      <c r="A2" s="30" t="s">
        <v>286</v>
      </c>
      <c r="B2" s="10" t="s">
        <v>55</v>
      </c>
      <c r="C2" s="10" t="s">
        <v>287</v>
      </c>
      <c r="D2" s="8" t="s">
        <v>51</v>
      </c>
      <c r="E2" s="10" t="s">
        <v>288</v>
      </c>
      <c r="F2" s="32" t="s">
        <v>289</v>
      </c>
    </row>
    <row r="3" customFormat="false" ht="25.5" hidden="false" customHeight="true" outlineLevel="0" collapsed="false">
      <c r="A3" s="31" t="s">
        <v>290</v>
      </c>
      <c r="B3" s="13" t="s">
        <v>90</v>
      </c>
      <c r="C3" s="13" t="s">
        <v>291</v>
      </c>
      <c r="D3" s="11" t="s">
        <v>53</v>
      </c>
      <c r="E3" s="13" t="s">
        <v>292</v>
      </c>
      <c r="F3" s="33" t="s">
        <v>293</v>
      </c>
    </row>
    <row r="4" customFormat="false" ht="25.5" hidden="false" customHeight="true" outlineLevel="0" collapsed="false">
      <c r="A4" s="30" t="s">
        <v>294</v>
      </c>
      <c r="B4" s="10" t="s">
        <v>295</v>
      </c>
      <c r="C4" s="10" t="s">
        <v>296</v>
      </c>
      <c r="D4" s="8" t="s">
        <v>74</v>
      </c>
      <c r="E4" s="10" t="s">
        <v>297</v>
      </c>
      <c r="F4" s="32" t="s">
        <v>298</v>
      </c>
    </row>
    <row r="5" customFormat="false" ht="25.5" hidden="false" customHeight="true" outlineLevel="0" collapsed="false">
      <c r="A5" s="31" t="s">
        <v>299</v>
      </c>
      <c r="B5" s="13" t="s">
        <v>300</v>
      </c>
      <c r="C5" s="13" t="s">
        <v>301</v>
      </c>
      <c r="D5" s="11" t="s">
        <v>112</v>
      </c>
      <c r="E5" s="13" t="s">
        <v>302</v>
      </c>
      <c r="F5" s="33" t="s">
        <v>303</v>
      </c>
    </row>
    <row r="6" customFormat="false" ht="25.5" hidden="false" customHeight="true" outlineLevel="0" collapsed="false">
      <c r="A6" s="30" t="s">
        <v>304</v>
      </c>
      <c r="B6" s="10" t="s">
        <v>305</v>
      </c>
      <c r="C6" s="10" t="s">
        <v>306</v>
      </c>
      <c r="D6" s="8" t="s">
        <v>307</v>
      </c>
      <c r="E6" s="10" t="s">
        <v>308</v>
      </c>
      <c r="F6" s="32" t="s">
        <v>309</v>
      </c>
    </row>
    <row r="7" customFormat="false" ht="25.5" hidden="false" customHeight="true" outlineLevel="0" collapsed="false">
      <c r="A7" s="31" t="s">
        <v>310</v>
      </c>
      <c r="B7" s="13" t="s">
        <v>311</v>
      </c>
      <c r="C7" s="13" t="s">
        <v>53</v>
      </c>
      <c r="D7" s="11" t="s">
        <v>312</v>
      </c>
      <c r="E7" s="13" t="s">
        <v>67</v>
      </c>
      <c r="F7" s="33" t="s">
        <v>313</v>
      </c>
    </row>
    <row r="8" customFormat="false" ht="25.5" hidden="false" customHeight="true" outlineLevel="0" collapsed="false">
      <c r="A8" s="30" t="s">
        <v>314</v>
      </c>
      <c r="B8" s="10" t="s">
        <v>315</v>
      </c>
      <c r="C8" s="10" t="s">
        <v>316</v>
      </c>
      <c r="D8" s="8" t="s">
        <v>317</v>
      </c>
      <c r="E8" s="10" t="s">
        <v>316</v>
      </c>
      <c r="F8" s="32" t="s">
        <v>318</v>
      </c>
    </row>
    <row r="9" customFormat="false" ht="25.5" hidden="false" customHeight="true" outlineLevel="0" collapsed="false">
      <c r="A9" s="31" t="s">
        <v>319</v>
      </c>
      <c r="B9" s="13" t="s">
        <v>105</v>
      </c>
      <c r="C9" s="13" t="s">
        <v>105</v>
      </c>
      <c r="D9" s="11" t="s">
        <v>320</v>
      </c>
      <c r="E9" s="13" t="s">
        <v>321</v>
      </c>
      <c r="F9" s="33" t="s">
        <v>322</v>
      </c>
    </row>
    <row r="10" customFormat="false" ht="25.5" hidden="false" customHeight="true" outlineLevel="0" collapsed="false">
      <c r="A10" s="30" t="s">
        <v>323</v>
      </c>
      <c r="B10" s="10" t="s">
        <v>105</v>
      </c>
      <c r="C10" s="10" t="s">
        <v>105</v>
      </c>
      <c r="D10" s="8" t="s">
        <v>324</v>
      </c>
      <c r="E10" s="10" t="s">
        <v>325</v>
      </c>
      <c r="F10" s="32" t="s">
        <v>326</v>
      </c>
    </row>
    <row r="11" customFormat="false" ht="25.5" hidden="false" customHeight="true" outlineLevel="0" collapsed="false">
      <c r="A11" s="31" t="s">
        <v>327</v>
      </c>
      <c r="B11" s="13" t="s">
        <v>328</v>
      </c>
      <c r="C11" s="13" t="s">
        <v>329</v>
      </c>
      <c r="D11" s="11" t="s">
        <v>330</v>
      </c>
      <c r="E11" s="13" t="s">
        <v>331</v>
      </c>
      <c r="F11" s="33" t="s">
        <v>332</v>
      </c>
    </row>
    <row r="13" customFormat="false" ht="15" hidden="false" customHeight="true" outlineLevel="0" collapsed="false">
      <c r="A13" s="29" t="s">
        <v>333</v>
      </c>
      <c r="B13" s="29"/>
      <c r="C13" s="29"/>
      <c r="D13" s="29"/>
      <c r="E13" s="29"/>
      <c r="F13" s="29"/>
    </row>
    <row r="14" customFormat="false" ht="15" hidden="false" customHeight="false" outlineLevel="0" collapsed="false">
      <c r="A14" s="29"/>
      <c r="B14" s="29"/>
      <c r="C14" s="29"/>
      <c r="D14" s="29"/>
      <c r="E14" s="29"/>
      <c r="F14" s="29"/>
    </row>
    <row r="15" customFormat="false" ht="15" hidden="false" customHeight="false" outlineLevel="0" collapsed="false">
      <c r="A15" s="29"/>
      <c r="B15" s="29"/>
      <c r="C15" s="29"/>
      <c r="D15" s="29"/>
      <c r="E15" s="29"/>
      <c r="F15" s="29"/>
    </row>
  </sheetData>
  <mergeCells count="1">
    <mergeCell ref="A13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2"/>
    <col collapsed="false" customWidth="true" hidden="false" outlineLevel="0" max="3" min="3" style="0" width="14"/>
    <col collapsed="false" customWidth="true" hidden="false" outlineLevel="0" max="4" min="4" style="0" width="34"/>
    <col collapsed="false" customWidth="true" hidden="false" outlineLevel="0" max="5" min="5" style="0" width="20"/>
  </cols>
  <sheetData>
    <row r="1" customFormat="false" ht="33.75" hidden="false" customHeight="true" outlineLevel="0" collapsed="false">
      <c r="A1" s="7" t="s">
        <v>334</v>
      </c>
      <c r="B1" s="7" t="s">
        <v>335</v>
      </c>
      <c r="C1" s="7" t="s">
        <v>336</v>
      </c>
      <c r="D1" s="7" t="s">
        <v>337</v>
      </c>
      <c r="E1" s="7" t="s">
        <v>338</v>
      </c>
    </row>
    <row r="2" customFormat="false" ht="33.75" hidden="false" customHeight="true" outlineLevel="0" collapsed="false">
      <c r="A2" s="30" t="s">
        <v>339</v>
      </c>
      <c r="B2" s="9" t="s">
        <v>340</v>
      </c>
      <c r="C2" s="9" t="s">
        <v>341</v>
      </c>
      <c r="D2" s="9" t="s">
        <v>342</v>
      </c>
      <c r="E2" s="9" t="s">
        <v>343</v>
      </c>
    </row>
    <row r="3" customFormat="false" ht="33.75" hidden="false" customHeight="true" outlineLevel="0" collapsed="false">
      <c r="A3" s="31" t="s">
        <v>344</v>
      </c>
      <c r="B3" s="12" t="s">
        <v>345</v>
      </c>
      <c r="C3" s="12" t="s">
        <v>346</v>
      </c>
      <c r="D3" s="12" t="s">
        <v>347</v>
      </c>
      <c r="E3" s="12" t="s">
        <v>348</v>
      </c>
    </row>
    <row r="4" customFormat="false" ht="33.75" hidden="false" customHeight="true" outlineLevel="0" collapsed="false">
      <c r="A4" s="30" t="s">
        <v>349</v>
      </c>
      <c r="B4" s="9" t="s">
        <v>350</v>
      </c>
      <c r="C4" s="9" t="s">
        <v>351</v>
      </c>
      <c r="D4" s="9" t="s">
        <v>352</v>
      </c>
      <c r="E4" s="9" t="s">
        <v>353</v>
      </c>
    </row>
    <row r="5" customFormat="false" ht="33.75" hidden="false" customHeight="true" outlineLevel="0" collapsed="false">
      <c r="A5" s="31" t="s">
        <v>354</v>
      </c>
      <c r="B5" s="12" t="s">
        <v>355</v>
      </c>
      <c r="C5" s="12" t="s">
        <v>356</v>
      </c>
      <c r="D5" s="12" t="s">
        <v>357</v>
      </c>
      <c r="E5" s="12" t="s">
        <v>358</v>
      </c>
    </row>
    <row r="6" customFormat="false" ht="33.75" hidden="false" customHeight="true" outlineLevel="0" collapsed="false">
      <c r="A6" s="30" t="s">
        <v>359</v>
      </c>
      <c r="B6" s="9" t="s">
        <v>360</v>
      </c>
      <c r="C6" s="9" t="s">
        <v>361</v>
      </c>
      <c r="D6" s="9" t="s">
        <v>362</v>
      </c>
      <c r="E6" s="9" t="s">
        <v>363</v>
      </c>
    </row>
    <row r="7" customFormat="false" ht="33.75" hidden="false" customHeight="true" outlineLevel="0" collapsed="false">
      <c r="A7" s="31" t="s">
        <v>364</v>
      </c>
      <c r="B7" s="12" t="s">
        <v>365</v>
      </c>
      <c r="C7" s="12" t="s">
        <v>366</v>
      </c>
      <c r="D7" s="12" t="s">
        <v>367</v>
      </c>
      <c r="E7" s="12" t="s">
        <v>368</v>
      </c>
    </row>
    <row r="8" customFormat="false" ht="33.75" hidden="false" customHeight="true" outlineLevel="0" collapsed="false">
      <c r="A8" s="30" t="s">
        <v>369</v>
      </c>
      <c r="B8" s="9" t="s">
        <v>370</v>
      </c>
      <c r="C8" s="9" t="s">
        <v>371</v>
      </c>
      <c r="D8" s="9" t="s">
        <v>372</v>
      </c>
      <c r="E8" s="9" t="s">
        <v>373</v>
      </c>
    </row>
    <row r="9" customFormat="false" ht="33.75" hidden="false" customHeight="true" outlineLevel="0" collapsed="false">
      <c r="A9" s="31" t="s">
        <v>374</v>
      </c>
      <c r="B9" s="12" t="s">
        <v>375</v>
      </c>
      <c r="C9" s="12" t="s">
        <v>376</v>
      </c>
      <c r="D9" s="12" t="s">
        <v>377</v>
      </c>
      <c r="E9" s="12" t="s">
        <v>378</v>
      </c>
    </row>
    <row r="10" customFormat="false" ht="33.75" hidden="false" customHeight="true" outlineLevel="0" collapsed="false">
      <c r="A10" s="30" t="s">
        <v>379</v>
      </c>
      <c r="B10" s="9" t="s">
        <v>380</v>
      </c>
      <c r="C10" s="9" t="s">
        <v>381</v>
      </c>
      <c r="D10" s="9" t="s">
        <v>382</v>
      </c>
      <c r="E10" s="9" t="s">
        <v>348</v>
      </c>
    </row>
    <row r="11" customFormat="false" ht="33.75" hidden="false" customHeight="true" outlineLevel="0" collapsed="false">
      <c r="A11" s="31" t="s">
        <v>383</v>
      </c>
      <c r="B11" s="12" t="s">
        <v>384</v>
      </c>
      <c r="C11" s="12" t="s">
        <v>385</v>
      </c>
      <c r="D11" s="12" t="s">
        <v>386</v>
      </c>
      <c r="E11" s="12" t="s">
        <v>387</v>
      </c>
    </row>
    <row r="12" customFormat="false" ht="33.75" hidden="false" customHeight="true" outlineLevel="0" collapsed="false">
      <c r="A12" s="30" t="s">
        <v>388</v>
      </c>
      <c r="B12" s="9" t="s">
        <v>389</v>
      </c>
      <c r="C12" s="9" t="s">
        <v>356</v>
      </c>
      <c r="D12" s="9" t="s">
        <v>390</v>
      </c>
      <c r="E12" s="9" t="s">
        <v>391</v>
      </c>
    </row>
    <row r="13" customFormat="false" ht="33.75" hidden="false" customHeight="true" outlineLevel="0" collapsed="false">
      <c r="A13" s="31" t="s">
        <v>392</v>
      </c>
      <c r="B13" s="12" t="s">
        <v>393</v>
      </c>
      <c r="C13" s="12" t="s">
        <v>394</v>
      </c>
      <c r="D13" s="12" t="s">
        <v>395</v>
      </c>
      <c r="E13" s="12" t="s">
        <v>396</v>
      </c>
    </row>
    <row r="14" customFormat="false" ht="33.75" hidden="false" customHeight="true" outlineLevel="0" collapsed="false">
      <c r="A14" s="30" t="s">
        <v>397</v>
      </c>
      <c r="B14" s="9" t="s">
        <v>398</v>
      </c>
      <c r="C14" s="9" t="s">
        <v>376</v>
      </c>
      <c r="D14" s="9" t="s">
        <v>399</v>
      </c>
      <c r="E14" s="9" t="s">
        <v>400</v>
      </c>
    </row>
    <row r="15" customFormat="false" ht="33.75" hidden="false" customHeight="true" outlineLevel="0" collapsed="false">
      <c r="A15" s="31" t="s">
        <v>401</v>
      </c>
      <c r="B15" s="12" t="s">
        <v>402</v>
      </c>
      <c r="C15" s="12" t="s">
        <v>366</v>
      </c>
      <c r="D15" s="12" t="s">
        <v>403</v>
      </c>
      <c r="E15" s="12" t="s">
        <v>363</v>
      </c>
    </row>
    <row r="17" customFormat="false" ht="15" hidden="false" customHeight="true" outlineLevel="0" collapsed="false">
      <c r="A17" s="29" t="s">
        <v>404</v>
      </c>
      <c r="B17" s="29"/>
      <c r="C17" s="29"/>
      <c r="D17" s="29"/>
      <c r="E17" s="29"/>
    </row>
    <row r="18" customFormat="false" ht="15" hidden="false" customHeight="false" outlineLevel="0" collapsed="false">
      <c r="A18" s="29"/>
      <c r="B18" s="29"/>
      <c r="C18" s="29"/>
      <c r="D18" s="29"/>
      <c r="E18" s="29"/>
    </row>
    <row r="19" customFormat="false" ht="15" hidden="false" customHeight="false" outlineLevel="0" collapsed="false">
      <c r="A19" s="29"/>
      <c r="B19" s="29"/>
      <c r="C19" s="29"/>
      <c r="D19" s="29"/>
      <c r="E19" s="29"/>
    </row>
    <row r="20" customFormat="false" ht="15" hidden="false" customHeight="false" outlineLevel="0" collapsed="false">
      <c r="A20" s="29"/>
      <c r="B20" s="29"/>
      <c r="C20" s="29"/>
      <c r="D20" s="29"/>
      <c r="E20" s="29"/>
    </row>
  </sheetData>
  <mergeCells count="1">
    <mergeCell ref="A17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2026-04-24T18:10:22Z</dcterms:created>
  <dc:creator>openpyxl</dc:creator>
  <dc:description/>
  <dc:language>en-US</dc:language>
  <cp:lastModifiedBy/>
  <dcterms:modified xsi:type="dcterms:W3CDTF">2026-04-24T18:10:22Z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